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10dee51ed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80c35847b8df4578"/>
    <x:sheet xmlns:r="http://schemas.openxmlformats.org/officeDocument/2006/relationships" name="Model_Comparison" sheetId="2" r:id="Rdf2b96361aa34c99"/>
    <x:sheet xmlns:r="http://schemas.openxmlformats.org/officeDocument/2006/relationships" name="Regression" sheetId="3" r:id="Rc3064371bc264488"/>
    <x:sheet xmlns:r="http://schemas.openxmlformats.org/officeDocument/2006/relationships" name="Feature_Importance" sheetId="4" r:id="R0e499dbf581a4967"/>
    <x:sheet xmlns:r="http://schemas.openxmlformats.org/officeDocument/2006/relationships" name="Risk_Scoring" sheetId="5" r:id="R945a3a48623a403c"/>
    <x:sheet xmlns:r="http://schemas.openxmlformats.org/officeDocument/2006/relationships" name="Calibration" sheetId="6" r:id="R610feb7b917e4928"/>
    <x:sheet xmlns:r="http://schemas.openxmlformats.org/officeDocument/2006/relationships" name="Segment_Performance" sheetId="7" r:id="R9bf7c076b91549db"/>
    <x:sheet xmlns:r="http://schemas.openxmlformats.org/officeDocument/2006/relationships" name="Sources" sheetId="8" r:id="R5b106cebb4bc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3557"/>
      <x:name val="Carlito"/>
    </x:font>
    <x:font>
      <x:b/>
      <x:sz val="18"/>
      <x:color rgb="FF071A2C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FFFFFF"/>
      </x:patternFill>
    </x:fill>
    <x:fill>
      <x:patternFill patternType="solid">
        <x:fgColor rgb="FF155F8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200" fontId="3" fillId="4" borderId="2" xfId="0" applyNumberFormat="1" applyFont="1" applyFill="1" applyBorder="1"/>
    <x:xf numFmtId="200" fontId="3" fillId="4" borderId="3" xfId="0" applyNumberFormat="1" applyFont="1" applyFill="1" applyBorder="1"/>
    <x:xf numFmtId="200" fontId="3" fillId="4" borderId="4" xfId="0" applyNumberFormat="1" applyFont="1" applyFill="1" applyBorder="1"/>
    <x:xf numFmtId="200" fontId="3" fillId="4" borderId="5" xfId="0" applyNumberFormat="1" applyFont="1" applyFill="1" applyBorder="1"/>
    <x:xf numFmtId="200" fontId="3" fillId="4" borderId="0" xfId="0" applyNumberFormat="1" applyFont="1" applyFill="1" applyBorder="1"/>
    <x:xf numFmtId="200" fontId="3" fillId="4" borderId="6" xfId="0" applyNumberFormat="1" applyFont="1" applyFill="1" applyBorder="1"/>
    <x:xf numFmtId="200" fontId="3" fillId="4" borderId="7" xfId="0" applyNumberFormat="1" applyFont="1" applyFill="1" applyBorder="1"/>
    <x:xf numFmtId="200" fontId="3" fillId="4" borderId="8" xfId="0" applyNumberFormat="1" applyFont="1" applyFill="1" applyBorder="1"/>
    <x:xf numFmtId="200" fontId="3" fillId="4" borderId="9" xfId="0" applyNumberFormat="1" applyFont="1" applyFill="1" applyBorder="1"/>
    <x:xf numFmtId="200" fontId="3" fillId="4" borderId="2" xfId="0" applyNumberFormat="1" applyFont="1" applyFill="1" applyBorder="1" applyAlignment="1">
      <x:alignment horizontal="center"/>
    </x:xf>
    <x:xf numFmtId="200" fontId="3" fillId="4" borderId="3" xfId="0" applyNumberFormat="1" applyFont="1" applyFill="1" applyBorder="1" applyAlignment="1">
      <x:alignment horizontal="center"/>
    </x:xf>
    <x:xf numFmtId="200" fontId="3" fillId="4" borderId="4" xfId="0" applyNumberFormat="1" applyFont="1" applyFill="1" applyBorder="1" applyAlignment="1">
      <x:alignment horizontal="center"/>
    </x:xf>
    <x:xf numFmtId="200" fontId="3" fillId="4" borderId="5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6" xfId="0" applyNumberFormat="1" applyFont="1" applyFill="1" applyBorder="1" applyAlignment="1">
      <x:alignment horizontal="center"/>
    </x:xf>
    <x:xf numFmtId="200" fontId="3" fillId="4" borderId="7" xfId="0" applyNumberFormat="1" applyFont="1" applyFill="1" applyBorder="1" applyAlignment="1">
      <x:alignment horizontal="center"/>
    </x:xf>
    <x:xf numFmtId="200" fontId="3" fillId="4" borderId="8" xfId="0" applyNumberFormat="1" applyFont="1" applyFill="1" applyBorder="1" applyAlignment="1">
      <x:alignment horizontal="center"/>
    </x:xf>
    <x:xf numFmtId="200" fontId="3" fillId="4" borderId="9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3" xfId="0" applyNumberFormat="1" applyFont="1" applyFill="1" applyBorder="1" applyAlignment="1">
      <x:alignment horizontal="center" vertical="center"/>
    </x:xf>
    <x:xf numFmtId="200" fontId="3" fillId="4" borderId="4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6" xfId="0" applyNumberFormat="1" applyFont="1" applyFill="1" applyBorder="1" applyAlignment="1">
      <x:alignment horizontal="center" vertical="center"/>
    </x:xf>
    <x:xf numFmtId="200" fontId="3" fillId="4" borderId="7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200" fontId="3" fillId="4" borderId="9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200" fontId="3" fillId="4" borderId="10" xfId="0" applyNumberFormat="1" applyFont="1" applyFill="1" applyBorder="1"/>
    <x:xf numFmtId="200" fontId="3" fillId="4" borderId="11" xfId="0" applyNumberFormat="1" applyFont="1" applyFill="1" applyBorder="1"/>
    <x:xf numFmtId="200" fontId="3" fillId="4" borderId="12" xfId="0" applyNumberFormat="1" applyFont="1" applyFill="1" applyBorder="1"/>
    <x:xf numFmtId="200" fontId="3" fillId="4" borderId="13" xfId="0" applyNumberFormat="1" applyFont="1" applyFill="1" applyBorder="1"/>
    <x:xf numFmtId="200" fontId="3" fillId="4" borderId="1" xfId="0" applyNumberFormat="1" applyFont="1" applyFill="1" applyBorder="1"/>
    <x:xf numFmtId="200" fontId="3" fillId="4" borderId="14" xfId="0" applyNumberFormat="1" applyFont="1" applyFill="1" applyBorder="1"/>
    <x:xf numFmtId="200" fontId="3" fillId="4" borderId="15" xfId="0" applyNumberFormat="1" applyFont="1" applyFill="1" applyBorder="1"/>
    <x:xf numFmtId="200" fontId="3" fillId="4" borderId="16" xfId="0" applyNumberFormat="1" applyFont="1" applyFill="1" applyBorder="1"/>
    <x:xf numFmtId="200" fontId="3" fillId="4" borderId="17" xfId="0" applyNumberFormat="1" applyFont="1" applyFill="1" applyBorder="1"/>
    <x:xf numFmtId="200" fontId="3" fillId="4" borderId="10" xfId="0" applyNumberFormat="1" applyFont="1" applyFill="1" applyBorder="1" applyAlignment="1">
      <x:alignment horizontal="center"/>
    </x:xf>
    <x:xf numFmtId="200" fontId="3" fillId="4" borderId="11" xfId="0" applyNumberFormat="1" applyFont="1" applyFill="1" applyBorder="1" applyAlignment="1">
      <x:alignment horizont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0" fontId="3" fillId="4" borderId="15" xfId="0" applyNumberFormat="1" applyFont="1" applyFill="1" applyBorder="1" applyAlignment="1">
      <x:alignment horizontal="center"/>
    </x:xf>
    <x:xf numFmtId="200" fontId="3" fillId="4" borderId="16" xfId="0" applyNumberFormat="1" applyFont="1" applyFill="1" applyBorder="1" applyAlignment="1">
      <x:alignment horizontal="center"/>
    </x:xf>
    <x:xf numFmtId="200" fontId="3" fillId="4" borderId="17" xfId="0" applyNumberFormat="1" applyFont="1" applyFill="1" applyBorder="1" applyAlignment="1">
      <x:alignment horizontal="center"/>
    </x:xf>
    <x:xf numFmtId="200" fontId="3" fillId="4" borderId="10" xfId="0" applyNumberFormat="1" applyFont="1" applyFill="1" applyBorder="1" applyAlignment="1">
      <x:alignment horizontal="center" vertical="center"/>
    </x:xf>
    <x:xf numFmtId="200" fontId="3" fillId="4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 vertical="center"/>
    </x:xf>
    <x:xf numFmtId="200" fontId="3" fillId="4" borderId="13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0" fontId="3" fillId="4" borderId="14" xfId="0" applyNumberFormat="1" applyFont="1" applyFill="1" applyBorder="1" applyAlignment="1">
      <x:alignment horizontal="center" vertical="center"/>
    </x:xf>
    <x:xf numFmtId="200" fontId="3" fillId="4" borderId="15" xfId="0" applyNumberFormat="1" applyFont="1" applyFill="1" applyBorder="1" applyAlignment="1">
      <x:alignment horizontal="center" vertical="center"/>
    </x:xf>
    <x:xf numFmtId="200" fontId="3" fillId="4" borderId="16" xfId="0" applyNumberFormat="1" applyFont="1" applyFill="1" applyBorder="1" applyAlignment="1">
      <x:alignment horizontal="center" vertical="center"/>
    </x:xf>
    <x:xf numFmtId="200" fontId="3" fillId="4" borderId="17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1" fontId="3" fillId="4" borderId="2" xfId="0" applyNumberFormat="1" applyFont="1" applyFill="1" applyBorder="1"/>
    <x:xf numFmtId="201" fontId="3" fillId="4" borderId="3" xfId="0" applyNumberFormat="1" applyFont="1" applyFill="1" applyBorder="1"/>
    <x:xf numFmtId="201" fontId="3" fillId="4" borderId="4" xfId="0" applyNumberFormat="1" applyFont="1" applyFill="1" applyBorder="1"/>
    <x:xf numFmtId="201" fontId="3" fillId="4" borderId="5" xfId="0" applyNumberFormat="1" applyFont="1" applyFill="1" applyBorder="1"/>
    <x:xf numFmtId="201" fontId="3" fillId="4" borderId="0" xfId="0" applyNumberFormat="1" applyFont="1" applyFill="1" applyBorder="1"/>
    <x:xf numFmtId="201" fontId="3" fillId="4" borderId="6" xfId="0" applyNumberFormat="1" applyFont="1" applyFill="1" applyBorder="1"/>
    <x:xf numFmtId="201" fontId="3" fillId="4" borderId="7" xfId="0" applyNumberFormat="1" applyFont="1" applyFill="1" applyBorder="1"/>
    <x:xf numFmtId="201" fontId="3" fillId="4" borderId="8" xfId="0" applyNumberFormat="1" applyFont="1" applyFill="1" applyBorder="1"/>
    <x:xf numFmtId="201" fontId="3" fillId="4" borderId="9" xfId="0" applyNumberFormat="1" applyFont="1" applyFill="1" applyBorder="1"/>
    <x:xf numFmtId="201" fontId="3" fillId="4" borderId="2" xfId="0" applyNumberFormat="1" applyFont="1" applyFill="1" applyBorder="1" applyAlignment="1">
      <x:alignment horizontal="center"/>
    </x:xf>
    <x:xf numFmtId="201" fontId="3" fillId="4" borderId="3" xfId="0" applyNumberFormat="1" applyFont="1" applyFill="1" applyBorder="1" applyAlignment="1">
      <x:alignment horizontal="center"/>
    </x:xf>
    <x:xf numFmtId="201" fontId="3" fillId="4" borderId="4" xfId="0" applyNumberFormat="1" applyFont="1" applyFill="1" applyBorder="1" applyAlignment="1">
      <x:alignment horizontal="center"/>
    </x:xf>
    <x:xf numFmtId="201" fontId="3" fillId="4" borderId="5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1" fontId="3" fillId="4" borderId="6" xfId="0" applyNumberFormat="1" applyFont="1" applyFill="1" applyBorder="1" applyAlignment="1">
      <x:alignment horizontal="center"/>
    </x:xf>
    <x:xf numFmtId="201" fontId="3" fillId="4" borderId="7" xfId="0" applyNumberFormat="1" applyFont="1" applyFill="1" applyBorder="1" applyAlignment="1">
      <x:alignment horizontal="center"/>
    </x:xf>
    <x:xf numFmtId="201" fontId="3" fillId="4" borderId="8" xfId="0" applyNumberFormat="1" applyFont="1" applyFill="1" applyBorder="1" applyAlignment="1">
      <x:alignment horizontal="center"/>
    </x:xf>
    <x:xf numFmtId="201" fontId="3" fillId="4" borderId="9" xfId="0" applyNumberFormat="1" applyFont="1" applyFill="1" applyBorder="1" applyAlignment="1">
      <x:alignment horizontal="center"/>
    </x:xf>
    <x:xf numFmtId="201" fontId="3" fillId="4" borderId="2" xfId="0" applyNumberFormat="1" applyFont="1" applyFill="1" applyBorder="1" applyAlignment="1">
      <x:alignment horizontal="center" vertical="center"/>
    </x:xf>
    <x:xf numFmtId="201" fontId="3" fillId="4" borderId="3" xfId="0" applyNumberFormat="1" applyFont="1" applyFill="1" applyBorder="1" applyAlignment="1">
      <x:alignment horizontal="center" vertical="center"/>
    </x:xf>
    <x:xf numFmtId="201" fontId="3" fillId="4" borderId="4" xfId="0" applyNumberFormat="1" applyFont="1" applyFill="1" applyBorder="1" applyAlignment="1">
      <x:alignment horizontal="center" vertical="center"/>
    </x:xf>
    <x:xf numFmtId="201" fontId="3" fillId="4" borderId="5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1" fontId="3" fillId="4" borderId="6" xfId="0" applyNumberFormat="1" applyFont="1" applyFill="1" applyBorder="1" applyAlignment="1">
      <x:alignment horizontal="center" vertical="center"/>
    </x:xf>
    <x:xf numFmtId="201" fontId="3" fillId="4" borderId="7" xfId="0" applyNumberFormat="1" applyFont="1" applyFill="1" applyBorder="1" applyAlignment="1">
      <x:alignment horizontal="center" vertical="center"/>
    </x:xf>
    <x:xf numFmtId="201" fontId="3" fillId="4" borderId="8" xfId="0" applyNumberFormat="1" applyFont="1" applyFill="1" applyBorder="1" applyAlignment="1">
      <x:alignment horizontal="center" vertical="center"/>
    </x:xf>
    <x:xf numFmtId="201" fontId="3" fillId="4" borderId="9" xfId="0" applyNumberFormat="1" applyFont="1" applyFill="1" applyBorder="1" applyAlignment="1">
      <x:alignment horizontal="center" vertical="center"/>
    </x:xf>
    <x:xf numFmtId="201" fontId="3" fillId="4" borderId="10" xfId="0" applyNumberFormat="1" applyFont="1" applyFill="1" applyBorder="1"/>
    <x:xf numFmtId="201" fontId="3" fillId="4" borderId="11" xfId="0" applyNumberFormat="1" applyFont="1" applyFill="1" applyBorder="1"/>
    <x:xf numFmtId="201" fontId="3" fillId="4" borderId="12" xfId="0" applyNumberFormat="1" applyFont="1" applyFill="1" applyBorder="1"/>
    <x:xf numFmtId="201" fontId="3" fillId="4" borderId="13" xfId="0" applyNumberFormat="1" applyFont="1" applyFill="1" applyBorder="1"/>
    <x:xf numFmtId="201" fontId="3" fillId="4" borderId="1" xfId="0" applyNumberFormat="1" applyFont="1" applyFill="1" applyBorder="1"/>
    <x:xf numFmtId="201" fontId="3" fillId="4" borderId="14" xfId="0" applyNumberFormat="1" applyFont="1" applyFill="1" applyBorder="1"/>
    <x:xf numFmtId="201" fontId="3" fillId="4" borderId="15" xfId="0" applyNumberFormat="1" applyFont="1" applyFill="1" applyBorder="1"/>
    <x:xf numFmtId="201" fontId="3" fillId="4" borderId="16" xfId="0" applyNumberFormat="1" applyFont="1" applyFill="1" applyBorder="1"/>
    <x:xf numFmtId="201" fontId="3" fillId="4" borderId="17" xfId="0" applyNumberFormat="1" applyFont="1" applyFill="1" applyBorder="1"/>
    <x:xf numFmtId="201" fontId="3" fillId="4" borderId="10" xfId="0" applyNumberFormat="1" applyFont="1" applyFill="1" applyBorder="1" applyAlignment="1">
      <x:alignment horizontal="center"/>
    </x:xf>
    <x:xf numFmtId="201" fontId="3" fillId="4" borderId="11" xfId="0" applyNumberFormat="1" applyFont="1" applyFill="1" applyBorder="1" applyAlignment="1">
      <x:alignment horizontal="center"/>
    </x:xf>
    <x:xf numFmtId="201" fontId="3" fillId="4" borderId="12" xfId="0" applyNumberFormat="1" applyFont="1" applyFill="1" applyBorder="1" applyAlignment="1">
      <x:alignment horizontal="center"/>
    </x:xf>
    <x:xf numFmtId="201" fontId="3" fillId="4" borderId="13" xfId="0" applyNumberFormat="1" applyFont="1" applyFill="1" applyBorder="1" applyAlignment="1">
      <x:alignment horizontal="center"/>
    </x:xf>
    <x:xf numFmtId="201" fontId="3" fillId="4" borderId="1" xfId="0" applyNumberFormat="1" applyFont="1" applyFill="1" applyBorder="1" applyAlignment="1">
      <x:alignment horizontal="center"/>
    </x:xf>
    <x:xf numFmtId="201" fontId="3" fillId="4" borderId="14" xfId="0" applyNumberFormat="1" applyFont="1" applyFill="1" applyBorder="1" applyAlignment="1">
      <x:alignment horizontal="center"/>
    </x:xf>
    <x:xf numFmtId="201" fontId="3" fillId="4" borderId="15" xfId="0" applyNumberFormat="1" applyFont="1" applyFill="1" applyBorder="1" applyAlignment="1">
      <x:alignment horizontal="center"/>
    </x:xf>
    <x:xf numFmtId="201" fontId="3" fillId="4" borderId="16" xfId="0" applyNumberFormat="1" applyFont="1" applyFill="1" applyBorder="1" applyAlignment="1">
      <x:alignment horizontal="center"/>
    </x:xf>
    <x:xf numFmtId="201" fontId="3" fillId="4" borderId="17" xfId="0" applyNumberFormat="1" applyFont="1" applyFill="1" applyBorder="1" applyAlignment="1">
      <x:alignment horizontal="center"/>
    </x:xf>
    <x:xf numFmtId="201" fontId="3" fillId="4" borderId="10" xfId="0" applyNumberFormat="1" applyFont="1" applyFill="1" applyBorder="1" applyAlignment="1">
      <x:alignment horizontal="center" vertical="center"/>
    </x:xf>
    <x:xf numFmtId="201" fontId="3" fillId="4" borderId="11" xfId="0" applyNumberFormat="1" applyFont="1" applyFill="1" applyBorder="1" applyAlignment="1">
      <x:alignment horizontal="center" vertical="center"/>
    </x:xf>
    <x:xf numFmtId="201" fontId="3" fillId="4" borderId="12" xfId="0" applyNumberFormat="1" applyFont="1" applyFill="1" applyBorder="1" applyAlignment="1">
      <x:alignment horizontal="center" vertical="center"/>
    </x:xf>
    <x:xf numFmtId="201" fontId="3" fillId="4" borderId="13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1" fontId="3" fillId="4" borderId="14" xfId="0" applyNumberFormat="1" applyFont="1" applyFill="1" applyBorder="1" applyAlignment="1">
      <x:alignment horizontal="center" vertical="center"/>
    </x:xf>
    <x:xf numFmtId="201" fontId="3" fillId="4" borderId="15" xfId="0" applyNumberFormat="1" applyFont="1" applyFill="1" applyBorder="1" applyAlignment="1">
      <x:alignment horizontal="center" vertical="center"/>
    </x:xf>
    <x:xf numFmtId="201" fontId="3" fillId="4" borderId="16" xfId="0" applyNumberFormat="1" applyFont="1" applyFill="1" applyBorder="1" applyAlignment="1">
      <x:alignment horizontal="center" vertical="center"/>
    </x:xf>
    <x:xf numFmtId="201" fontId="3" fillId="4" borderId="1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FCE2E0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FE2"/>
        </x:patternFill>
      </x:fill>
    </x:dxf>
    <x:dxf>
      <x:fill>
        <x:patternFill patternType="solid">
          <x:bgColor rgb="FFFCE2E0"/>
        </x:patternFill>
      </x:fill>
    </x:dxf>
    <x:dxf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e903f89a640b6" /><Relationship Type="http://schemas.openxmlformats.org/officeDocument/2006/relationships/theme" Target="/xl/theme/theme1.xml" Id="R86fe67151ceb466c" /><Relationship Type="http://schemas.openxmlformats.org/officeDocument/2006/relationships/sharedStrings" Target="/xl/sharedStrings.xml" Id="R088fa978202b4c95" /><Relationship Type="http://schemas.openxmlformats.org/officeDocument/2006/relationships/worksheet" Target="/xl/worksheets/sheet1.xml" Id="R80c35847b8df4578" /><Relationship Type="http://schemas.openxmlformats.org/officeDocument/2006/relationships/worksheet" Target="/xl/worksheets/sheet2.xml" Id="Rdf2b96361aa34c99" /><Relationship Type="http://schemas.openxmlformats.org/officeDocument/2006/relationships/worksheet" Target="/xl/worksheets/sheet3.xml" Id="Rc3064371bc264488" /><Relationship Type="http://schemas.openxmlformats.org/officeDocument/2006/relationships/worksheet" Target="/xl/worksheets/sheet4.xml" Id="R0e499dbf581a4967" /><Relationship Type="http://schemas.openxmlformats.org/officeDocument/2006/relationships/worksheet" Target="/xl/worksheets/sheet5.xml" Id="R945a3a48623a403c" /><Relationship Type="http://schemas.openxmlformats.org/officeDocument/2006/relationships/worksheet" Target="/xl/worksheets/sheet6.xml" Id="R610feb7b917e4928" /><Relationship Type="http://schemas.openxmlformats.org/officeDocument/2006/relationships/worksheet" Target="/xl/worksheets/sheet7.xml" Id="R9bf7c076b91549db" /><Relationship Type="http://schemas.openxmlformats.org/officeDocument/2006/relationships/worksheet" Target="/xl/worksheets/sheet8.xml" Id="R5b106cebb4bc4c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4485efedb040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Risk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 Projects</c:v>
          </c:tx>
          <c:cat>
            <c:strRef>
              <c:f>'Executive_Summary'!$A$19:$A$21</c:f>
              <c:strCache>
                <c:ptCount val="0"/>
              </c:strCache>
            </c:strRef>
          </c:cat>
          <c:val>
            <c:numRef>
              <c:f>'Executive_Summary'!$B$19:$B$21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4485efedb040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BandTable" displayName="RiskBandTable" ref="A18:B21" headerRowCount="1">
  <x:tableColumns count="2">
    <x:tableColumn id="1" name="Risk Band"/>
    <x:tableColumn id="2" name="Test Projects"/>
  </x:tableColumns>
  <x:tableStyleInfo name="TableStyleMedium2" showRowStripes="1"/>
</x:table>
</file>

<file path=xl/tables/table2.xml><?xml version="1.0" encoding="utf-8"?>
<x:table xmlns:x="http://schemas.openxmlformats.org/spreadsheetml/2006/main" id="2" name="TopRiskProjects" displayName="TopRiskProjects" ref="A34:G44" headerRowCount="1">
  <x:tableColumns count="7">
    <x:tableColumn id="1" name="Project ID"/>
    <x:tableColumn id="2" name="Project"/>
    <x:tableColumn id="3" name="Band"/>
    <x:tableColumn id="4" name="Overall Prob."/>
    <x:tableColumn id="5" name="Cost Prob."/>
    <x:tableColumn id="6" name="Schedule Prob."/>
    <x:tableColumn id="7" name="Primary Drivers"/>
  </x:tableColumns>
  <x:tableStyleInfo name="TableStyleMedium2" showRowStripes="1"/>
</x:table>
</file>

<file path=xl/tables/table3.xml><?xml version="1.0" encoding="utf-8"?>
<x:table xmlns:x="http://schemas.openxmlformats.org/spreadsheetml/2006/main" id="3" name="ClassificationMetrics" displayName="ClassificationMetrics" ref="A5:P13" headerRowCount="1">
  <x:tableColumns count="16">
    <x:tableColumn id="1" name="Target"/>
    <x:tableColumn id="2" name="Model"/>
    <x:tableColumn id="3" name="Split"/>
    <x:tableColumn id="4" name="ROC AUC"/>
    <x:tableColumn id="5" name="PR AUC"/>
    <x:tableColumn id="6" name="Brier"/>
    <x:tableColumn id="7" name="Accuracy"/>
    <x:tableColumn id="8" name="Precision"/>
    <x:tableColumn id="9" name="Recall"/>
    <x:tableColumn id="10" name="F1"/>
    <x:tableColumn id="11" name="Specificity"/>
    <x:tableColumn id="12" name="Threshold"/>
    <x:tableColumn id="13" name="TN"/>
    <x:tableColumn id="14" name="FP"/>
    <x:tableColumn id="15" name="FN"/>
    <x:tableColumn id="16" name="TP"/>
  </x:tableColumns>
  <x:tableStyleInfo name="TableStyleMedium2" showRowStripes="1"/>
</x:table>
</file>

<file path=xl/tables/table4.xml><?xml version="1.0" encoding="utf-8"?>
<x:table xmlns:x="http://schemas.openxmlformats.org/spreadsheetml/2006/main" id="4" name="RegressionMetrics" displayName="RegressionMetrics" ref="A5:F13" headerRowCount="1">
  <x:tableColumns count="6">
    <x:tableColumn id="1" name="Target"/>
    <x:tableColumn id="2" name="Model"/>
    <x:tableColumn id="3" name="Split"/>
    <x:tableColumn id="4" name="MAE"/>
    <x:tableColumn id="5" name="RMSE"/>
    <x:tableColumn id="6" name="R²"/>
  </x:tableColumns>
  <x:tableStyleInfo name="TableStyleMedium2" showRowStripes="1"/>
</x:table>
</file>

<file path=xl/tables/table5.xml><?xml version="1.0" encoding="utf-8"?>
<x:table xmlns:x="http://schemas.openxmlformats.org/spreadsheetml/2006/main" id="5" name="FeatureImportance" displayName="FeatureImportance" ref="A5:D35" headerRowCount="1">
  <x:tableColumns count="4">
    <x:tableColumn id="1" name="Target"/>
    <x:tableColumn id="2" name="Feature"/>
    <x:tableColumn id="3" name="Importance Mean"/>
    <x:tableColumn id="4" name="Importance Std"/>
  </x:tableColumns>
  <x:tableStyleInfo name="TableStyleMedium2" showRowStripes="1"/>
</x:table>
</file>

<file path=xl/tables/table6.xml><?xml version="1.0" encoding="utf-8"?>
<x:table xmlns:x="http://schemas.openxmlformats.org/spreadsheetml/2006/main" id="6" name="RiskScoring" displayName="RiskScoring" ref="A5:K35" headerRowCount="1">
  <x:tableColumns count="11">
    <x:tableColumn id="1" name="Project ID"/>
    <x:tableColumn id="2" name="Project"/>
    <x:tableColumn id="3" name="Type"/>
    <x:tableColumn id="4" name="Complexity"/>
    <x:tableColumn id="5" name="Owner Decision"/>
    <x:tableColumn id="6" name="Cost Prob."/>
    <x:tableColumn id="7" name="Schedule Prob."/>
    <x:tableColumn id="8" name="Overall Prob."/>
    <x:tableColumn id="9" name="Band"/>
    <x:tableColumn id="10" name="Actual Cost Flag"/>
    <x:tableColumn id="11" name="Actual Schedule Flag"/>
  </x:tableColumns>
  <x:tableStyleInfo name="TableStyleMedium2" showRowStripes="1"/>
</x:table>
</file>

<file path=xl/tables/table7.xml><?xml version="1.0" encoding="utf-8"?>
<x:table xmlns:x="http://schemas.openxmlformats.org/spreadsheetml/2006/main" id="7" name="CalibrationTable" displayName="CalibrationTable" ref="A5:E25" headerRowCount="1">
  <x:tableColumns count="5">
    <x:tableColumn id="1" name="Target"/>
    <x:tableColumn id="2" name="Bin"/>
    <x:tableColumn id="3" name="Mean Predicted"/>
    <x:tableColumn id="4" name="Observed Rate"/>
    <x:tableColumn id="5" name="Projects"/>
  </x:tableColumns>
  <x:tableStyleInfo name="TableStyleMedium2" showRowStripes="1"/>
</x:table>
</file>

<file path=xl/tables/table8.xml><?xml version="1.0" encoding="utf-8"?>
<x:table xmlns:x="http://schemas.openxmlformats.org/spreadsheetml/2006/main" id="8" name="SegmentPerformance" displayName="SegmentPerformance" ref="A5:I47" headerRowCount="1">
  <x:tableColumns count="9">
    <x:tableColumn id="1" name="Target"/>
    <x:tableColumn id="2" name="Field"/>
    <x:tableColumn id="3" name="Segment"/>
    <x:tableColumn id="4" name="Projects"/>
    <x:tableColumn id="5" name="Actual Rate"/>
    <x:tableColumn id="6" name="Mean Probability"/>
    <x:tableColumn id="7" name="ROC AUC"/>
    <x:tableColumn id="8" name="Precision"/>
    <x:tableColumn id="9" name="Recall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5:D11" headerRowCount="1">
  <x:tableColumns count="4">
    <x:tableColumn id="1" name="Source Type"/>
    <x:tableColumn id="2" name="Source"/>
    <x:tableColumn id="3" name="Location / 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4939893a0743e1" /><Relationship Type="http://schemas.openxmlformats.org/officeDocument/2006/relationships/table" Target="/xl/tables/table1.xml" Id="R643762bbce2c44dd" /><Relationship Type="http://schemas.openxmlformats.org/officeDocument/2006/relationships/table" Target="/xl/tables/table2.xml" Id="R28a54bd152574b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719df2b359b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9f5f86b3d14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ea03adadf244b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340ec2932a54d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a5ef3ad4c7248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ec5d6caf049145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6a536a652c2449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48" hidden="0" customWidth="1"/>
  </x:cols>
  <x:sheetData>
    <x:row r="1" ht="32" customHeight="1">
      <x:c r="A1" s="4" t="str">
        <x:v>Predictive Construction Project Overrun Model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1" t="str">
        <x:v>Time-based early-warning classification and regression for cost overruns and schedule delays. All data is synthetic.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44" t="n">
        <x:v>0.8990990990990991</x:v>
      </x:c>
      <x:c r="B5" s="45"/>
      <x:c r="C5" s="46"/>
      <x:c r="D5" s="44" t="n">
        <x:v>0.7742783234536805</x:v>
      </x:c>
      <x:c r="E5" s="45"/>
      <x:c r="F5" s="46"/>
      <x:c r="G5" s="110" t="n">
        <x:v>0.8108108108108109</x:v>
      </x:c>
      <x:c r="H5" s="111"/>
      <x:c r="I5" s="112"/>
      <x:c r="J5" s="110" t="n">
        <x:v>0.625</x:v>
      </x:c>
      <x:c r="K5" s="111"/>
      <x:c r="L5" s="112"/>
    </x:row>
    <x:row r="6">
      <x:c r="A6" s="47"/>
      <x:c r="B6" s="48"/>
      <x:c r="C6" s="49"/>
      <x:c r="D6" s="47"/>
      <x:c r="E6" s="48"/>
      <x:c r="F6" s="49"/>
      <x:c r="G6" s="113"/>
      <x:c r="H6" s="114"/>
      <x:c r="I6" s="115"/>
      <x:c r="J6" s="113"/>
      <x:c r="K6" s="114"/>
      <x:c r="L6" s="115"/>
    </x:row>
    <x:row r="7">
      <x:c r="A7" s="47"/>
      <x:c r="B7" s="48"/>
      <x:c r="C7" s="49"/>
      <x:c r="D7" s="47"/>
      <x:c r="E7" s="48"/>
      <x:c r="F7" s="49"/>
      <x:c r="G7" s="113"/>
      <x:c r="H7" s="114"/>
      <x:c r="I7" s="115"/>
      <x:c r="J7" s="113"/>
      <x:c r="K7" s="114"/>
      <x:c r="L7" s="115"/>
    </x:row>
    <x:row r="8">
      <x:c r="A8" s="50"/>
      <x:c r="B8" s="51"/>
      <x:c r="C8" s="52"/>
      <x:c r="D8" s="50"/>
      <x:c r="E8" s="51"/>
      <x:c r="F8" s="52"/>
      <x:c r="G8" s="116"/>
      <x:c r="H8" s="117"/>
      <x:c r="I8" s="118"/>
      <x:c r="J8" s="116"/>
      <x:c r="K8" s="117"/>
      <x:c r="L8" s="118"/>
    </x:row>
    <x:row r="9">
      <x:c r="A9" s="90" t="str">
        <x:v>Cost ROC-AUC</x:v>
      </x:c>
      <x:c r="B9" s="90"/>
      <x:c r="C9" s="90"/>
      <x:c r="D9" s="90" t="str">
        <x:v>Cost PR-AUC</x:v>
      </x:c>
      <x:c r="E9" s="90"/>
      <x:c r="F9" s="90"/>
      <x:c r="G9" s="90" t="str">
        <x:v>Cost Recall</x:v>
      </x:c>
      <x:c r="H9" s="90"/>
      <x:c r="I9" s="90"/>
      <x:c r="J9" s="90" t="str">
        <x:v>Cost Precision</x:v>
      </x:c>
      <x:c r="K9" s="90"/>
      <x:c r="L9" s="90"/>
    </x:row>
    <x:row r="11">
      <x:c r="A11" s="44" t="n">
        <x:v>0.7560797342192692</x:v>
      </x:c>
      <x:c r="B11" s="45"/>
      <x:c r="C11" s="46"/>
      <x:c r="D11" s="44" t="n">
        <x:v>0.5236284143171703</x:v>
      </x:c>
      <x:c r="E11" s="45"/>
      <x:c r="F11" s="46"/>
      <x:c r="G11" s="110" t="n">
        <x:v>0.45348837209302323</x:v>
      </x:c>
      <x:c r="H11" s="111"/>
      <x:c r="I11" s="112"/>
      <x:c r="J11" s="110" t="n">
        <x:v>0.52</x:v>
      </x:c>
      <x:c r="K11" s="111"/>
      <x:c r="L11" s="112"/>
    </x:row>
    <x:row r="12">
      <x:c r="A12" s="47"/>
      <x:c r="B12" s="48"/>
      <x:c r="C12" s="49"/>
      <x:c r="D12" s="47"/>
      <x:c r="E12" s="48"/>
      <x:c r="F12" s="49"/>
      <x:c r="G12" s="113"/>
      <x:c r="H12" s="114"/>
      <x:c r="I12" s="115"/>
      <x:c r="J12" s="113"/>
      <x:c r="K12" s="114"/>
      <x:c r="L12" s="115"/>
    </x:row>
    <x:row r="13">
      <x:c r="A13" s="47"/>
      <x:c r="B13" s="48"/>
      <x:c r="C13" s="49"/>
      <x:c r="D13" s="47"/>
      <x:c r="E13" s="48"/>
      <x:c r="F13" s="49"/>
      <x:c r="G13" s="113"/>
      <x:c r="H13" s="114"/>
      <x:c r="I13" s="115"/>
      <x:c r="J13" s="113"/>
      <x:c r="K13" s="114"/>
      <x:c r="L13" s="115"/>
    </x:row>
    <x:row r="14">
      <x:c r="A14" s="50"/>
      <x:c r="B14" s="51"/>
      <x:c r="C14" s="52"/>
      <x:c r="D14" s="50"/>
      <x:c r="E14" s="51"/>
      <x:c r="F14" s="52"/>
      <x:c r="G14" s="116"/>
      <x:c r="H14" s="117"/>
      <x:c r="I14" s="118"/>
      <x:c r="J14" s="116"/>
      <x:c r="K14" s="117"/>
      <x:c r="L14" s="118"/>
    </x:row>
    <x:row r="15">
      <x:c r="A15" s="90" t="str">
        <x:v>Schedule ROC-AUC</x:v>
      </x:c>
      <x:c r="B15" s="90"/>
      <x:c r="C15" s="90"/>
      <x:c r="D15" s="90" t="str">
        <x:v>Schedule PR-AUC</x:v>
      </x:c>
      <x:c r="E15" s="90"/>
      <x:c r="F15" s="90"/>
      <x:c r="G15" s="90" t="str">
        <x:v>Schedule Recall</x:v>
      </x:c>
      <x:c r="H15" s="90"/>
      <x:c r="I15" s="90"/>
      <x:c r="J15" s="90" t="str">
        <x:v>Schedule Precision</x:v>
      </x:c>
      <x:c r="K15" s="90"/>
      <x:c r="L15" s="90"/>
    </x:row>
    <x:row r="18">
      <x:c r="A18" s="150" t="str">
        <x:v>Risk Band</x:v>
      </x:c>
      <x:c r="B18" s="150" t="str">
        <x:v>Test Projects</x:v>
      </x:c>
    </x:row>
    <x:row r="19">
      <x:c r="A19" s="156" t="str">
        <x:v>Red</x:v>
      </x:c>
      <x:c r="B19" s="156" t="n">
        <x:v>188</x:v>
      </x:c>
    </x:row>
    <x:row r="20">
      <x:c r="A20" s="156" t="str">
        <x:v>Yellow</x:v>
      </x:c>
      <x:c r="B20" s="156" t="n">
        <x:v>138</x:v>
      </x:c>
    </x:row>
    <x:row r="21">
      <x:c r="A21" s="156" t="str">
        <x:v>Green</x:v>
      </x:c>
      <x:c r="B21" s="156" t="n">
        <x:v>110</x:v>
      </x:c>
    </x:row>
    <x:row r="34">
      <x:c r="A34" s="150" t="str">
        <x:v>Project ID</x:v>
      </x:c>
      <x:c r="B34" s="150" t="str">
        <x:v>Project</x:v>
      </x:c>
      <x:c r="C34" s="150" t="str">
        <x:v>Band</x:v>
      </x:c>
      <x:c r="D34" s="150" t="str">
        <x:v>Overall Prob.</x:v>
      </x:c>
      <x:c r="E34" s="150" t="str">
        <x:v>Cost Prob.</x:v>
      </x:c>
      <x:c r="F34" s="150" t="str">
        <x:v>Schedule Prob.</x:v>
      </x:c>
      <x:c r="G34" s="150" t="str">
        <x:v>Primary Drivers</x:v>
      </x:c>
    </x:row>
    <x:row r="35">
      <x:c r="A35" s="156" t="str">
        <x:v>PRJ3-01418</x:v>
      </x:c>
      <x:c r="B35" s="156" t="str">
        <x:v>Gateway Bridge Program 1418</x:v>
      </x:c>
      <x:c r="C35" s="156" t="str">
        <x:v>Red</x:v>
      </x:c>
      <x:c r="D35" s="158" t="n">
        <x:v>0.9984539917560431</x:v>
      </x:c>
      <x:c r="E35" s="158" t="n">
        <x:v>0.9399010320458105</x:v>
      </x:c>
      <x:c r="F35" s="158" t="n">
        <x:v>0.974275627409519</x:v>
      </x:c>
      <x:c r="G35" s="156" t="str">
        <x:v>Slow change approval; Workflow risk score; Overdue RFI backlog</x:v>
      </x:c>
    </x:row>
    <x:row r="36">
      <x:c r="A36" s="156" t="str">
        <x:v>PRJ3-01705</x:v>
      </x:c>
      <x:c r="B36" s="156" t="str">
        <x:v>Granite Urban Village 1705</x:v>
      </x:c>
      <x:c r="C36" s="156" t="str">
        <x:v>Red</x:v>
      </x:c>
      <x:c r="D36" s="158" t="n">
        <x:v>0.9975352206410704</x:v>
      </x:c>
      <x:c r="E36" s="158" t="n">
        <x:v>0.8906580948302405</x:v>
      </x:c>
      <x:c r="F36" s="158" t="n">
        <x:v>0.9774580536611016</x:v>
      </x:c>
      <x:c r="G36" s="156" t="str">
        <x:v>Overdue RFI backlog; Slow change approval; Workflow risk score</x:v>
      </x:c>
    </x:row>
    <x:row r="37">
      <x:c r="A37" s="156" t="str">
        <x:v>PRJ3-00034</x:v>
      </x:c>
      <x:c r="B37" s="156" t="str">
        <x:v>Horizon Neighborhood 34</x:v>
      </x:c>
      <x:c r="C37" s="156" t="str">
        <x:v>Red</x:v>
      </x:c>
      <x:c r="D37" s="158" t="n">
        <x:v>0.9936818931078062</x:v>
      </x:c>
      <x:c r="E37" s="158" t="n">
        <x:v>0.8029700587306873</x:v>
      </x:c>
      <x:c r="F37" s="158" t="n">
        <x:v>0.9679332651093985</x:v>
      </x:c>
      <x:c r="G37" s="156" t="str">
        <x:v>Overdue RFI backlog; Workflow risk score; Slow RFI response</x:v>
      </x:c>
    </x:row>
    <x:row r="38">
      <x:c r="A38" s="156" t="str">
        <x:v>PRJ3-01716</x:v>
      </x:c>
      <x:c r="B38" s="156" t="str">
        <x:v>Redwood Logistics Center 1716</x:v>
      </x:c>
      <x:c r="C38" s="156" t="str">
        <x:v>Red</x:v>
      </x:c>
      <x:c r="D38" s="158" t="n">
        <x:v>0.9924184482775115</x:v>
      </x:c>
      <x:c r="E38" s="158" t="n">
        <x:v>0.9164024836914005</x:v>
      </x:c>
      <x:c r="F38" s="158" t="n">
        <x:v>0.9093088879040226</x:v>
      </x:c>
      <x:c r="G38" s="156" t="str">
        <x:v>Overdue RFI backlog; Slow RFI response; Workflow risk score</x:v>
      </x:c>
    </x:row>
    <x:row r="39">
      <x:c r="A39" s="156" t="str">
        <x:v>PRJ3-00702</x:v>
      </x:c>
      <x:c r="B39" s="156" t="str">
        <x:v>Aspen Corporate Center 702</x:v>
      </x:c>
      <x:c r="C39" s="156" t="str">
        <x:v>Red</x:v>
      </x:c>
      <x:c r="D39" s="158" t="n">
        <x:v>0.9911013427120609</x:v>
      </x:c>
      <x:c r="E39" s="158" t="n">
        <x:v>0.9178694043852336</x:v>
      </x:c>
      <x:c r="F39" s="158" t="n">
        <x:v>0.891652346834567</x:v>
      </x:c>
      <x:c r="G39" s="156" t="str">
        <x:v>Overdue RFI backlog; Slow change approval; Slow RFI response</x:v>
      </x:c>
    </x:row>
    <x:row r="40">
      <x:c r="A40" s="156" t="str">
        <x:v>PRJ3-01925</x:v>
      </x:c>
      <x:c r="B40" s="156" t="str">
        <x:v>Northstar Highway Improvements 1925</x:v>
      </x:c>
      <x:c r="C40" s="156" t="str">
        <x:v>Red</x:v>
      </x:c>
      <x:c r="D40" s="158" t="n">
        <x:v>0.9904523178137955</x:v>
      </x:c>
      <x:c r="E40" s="158" t="n">
        <x:v>0.8809701386231231</x:v>
      </x:c>
      <x:c r="F40" s="158" t="n">
        <x:v>0.9197875047844151</x:v>
      </x:c>
      <x:c r="G40" s="156" t="str">
        <x:v>Slow change approval; Workflow risk score; Slow RFI response</x:v>
      </x:c>
    </x:row>
    <x:row r="41">
      <x:c r="A41" s="156" t="str">
        <x:v>PRJ3-01981</x:v>
      </x:c>
      <x:c r="B41" s="156" t="str">
        <x:v>Pioneer Urban Village 1981</x:v>
      </x:c>
      <x:c r="C41" s="156" t="str">
        <x:v>Red</x:v>
      </x:c>
      <x:c r="D41" s="158" t="n">
        <x:v>0.9884050027299504</x:v>
      </x:c>
      <x:c r="E41" s="158" t="n">
        <x:v>0.9408283367285022</x:v>
      </x:c>
      <x:c r="F41" s="158" t="n">
        <x:v>0.8040447635070153</x:v>
      </x:c>
      <x:c r="G41" s="156" t="str">
        <x:v>Overdue RFI backlog; Slow RFI response; Workflow risk score</x:v>
      </x:c>
    </x:row>
    <x:row r="42">
      <x:c r="A42" s="156" t="str">
        <x:v>PRJ3-01492</x:v>
      </x:c>
      <x:c r="B42" s="156" t="str">
        <x:v>Horizon Education Center 1492</x:v>
      </x:c>
      <x:c r="C42" s="156" t="str">
        <x:v>Red</x:v>
      </x:c>
      <x:c r="D42" s="158" t="n">
        <x:v>0.9861427080079596</x:v>
      </x:c>
      <x:c r="E42" s="158" t="n">
        <x:v>0.9211636985505067</x:v>
      </x:c>
      <x:c r="F42" s="158" t="n">
        <x:v>0.824227015508608</x:v>
      </x:c>
      <x:c r="G42" s="156" t="str">
        <x:v>Overdue RFI backlog; Low CPI; Low SPI</x:v>
      </x:c>
    </x:row>
    <x:row r="43">
      <x:c r="A43" s="156" t="str">
        <x:v>PRJ3-01752</x:v>
      </x:c>
      <x:c r="B43" s="156" t="str">
        <x:v>Lakeview Highway Improvements 1752</x:v>
      </x:c>
      <x:c r="C43" s="156" t="str">
        <x:v>Red</x:v>
      </x:c>
      <x:c r="D43" s="158" t="n">
        <x:v>0.9849326455536871</x:v>
      </x:c>
      <x:c r="E43" s="158" t="n">
        <x:v>0.8706742209909266</x:v>
      </x:c>
      <x:c r="F43" s="158" t="n">
        <x:v>0.8834930316154844</x:v>
      </x:c>
      <x:c r="G43" s="156" t="str">
        <x:v>Overdue RFI backlog; Low CPI; Low SPI</x:v>
      </x:c>
    </x:row>
    <x:row r="44">
      <x:c r="A44" s="156" t="str">
        <x:v>PRJ3-02338</x:v>
      </x:c>
      <x:c r="B44" s="156" t="str">
        <x:v>Riverside Neighborhood 2338</x:v>
      </x:c>
      <x:c r="C44" s="156" t="str">
        <x:v>Red</x:v>
      </x:c>
      <x:c r="D44" s="158" t="n">
        <x:v>0.9820553870033367</x:v>
      </x:c>
      <x:c r="E44" s="158" t="n">
        <x:v>0.7454881429490665</x:v>
      </x:c>
      <x:c r="F44" s="158" t="n">
        <x:v>0.9294939999865226</x:v>
      </x:c>
      <x:c r="G44" s="156" t="str">
        <x:v>Overdue RFI backlog; Slow change approval; Slow RFI response</x:v>
      </x:c>
    </x:row>
  </x:sheetData>
  <x:mergeCells>
    <x:mergeCell ref="A1:N1"/>
    <x:mergeCell ref="A2:H3"/>
    <x:mergeCell ref="A5:C8"/>
    <x:mergeCell ref="A9:C9"/>
    <x:mergeCell ref="D5:F8"/>
    <x:mergeCell ref="D9:F9"/>
    <x:mergeCell ref="G5:I8"/>
    <x:mergeCell ref="G9:I9"/>
    <x:mergeCell ref="J5:L8"/>
    <x:mergeCell ref="J9:L9"/>
    <x:mergeCell ref="A11:C14"/>
    <x:mergeCell ref="A15:C15"/>
    <x:mergeCell ref="D11:F14"/>
    <x:mergeCell ref="D15:F15"/>
    <x:mergeCell ref="G11:I14"/>
    <x:mergeCell ref="G15:I15"/>
    <x:mergeCell ref="J11:L14"/>
    <x:mergeCell ref="J15:L15"/>
  </x:mergeCells>
  <x:conditionalFormatting sqref="A19:A21">
    <x:cfRule type="expression" dxfId="0" priority="1">
      <x:formula>A19="Red"</x:formula>
    </x:cfRule>
    <x:cfRule type="expression" dxfId="1" priority="2">
      <x:formula>A19="Yellow"</x:formula>
    </x:cfRule>
    <x:cfRule type="expression" dxfId="2" priority="3">
      <x:formula>A19="Green"</x:formula>
    </x:cfRule>
  </x:conditionalFormatting>
  <x:conditionalFormatting sqref="C35:C44">
    <x:cfRule type="expression" dxfId="3" priority="4">
      <x:formula>C35="Red"</x:formula>
    </x:cfRule>
  </x:conditionalFormatting>
  <x:pageMargins left="0.7" right="0.7" top="0.75" bottom="0.75" header="0.3" footer="0.3"/>
  <x:drawing xmlns:r="http://schemas.openxmlformats.org/officeDocument/2006/relationships" r:id="Ra74939893a0743e1"/>
  <x:tableParts count="2">
    <x:tablePart xmlns:r="http://schemas.openxmlformats.org/officeDocument/2006/relationships" r:id="R643762bbce2c44dd"/>
    <x:tablePart xmlns:r="http://schemas.openxmlformats.org/officeDocument/2006/relationships" r:id="R28a54bd152574b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32" customHeight="1">
      <x:c r="A1" s="4" t="str">
        <x:v>Classification Model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11" t="str">
        <x:v>Validation selects model and threshold; test reports temporal generalization.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Target</x:v>
      </x:c>
      <x:c r="B5" s="150" t="str">
        <x:v>Model</x:v>
      </x:c>
      <x:c r="C5" s="150" t="str">
        <x:v>Split</x:v>
      </x:c>
      <x:c r="D5" s="150" t="str">
        <x:v>ROC AUC</x:v>
      </x:c>
      <x:c r="E5" s="150" t="str">
        <x:v>PR AUC</x:v>
      </x:c>
      <x:c r="F5" s="150" t="str">
        <x:v>Brier</x:v>
      </x:c>
      <x:c r="G5" s="150" t="str">
        <x:v>Accuracy</x:v>
      </x:c>
      <x:c r="H5" s="150" t="str">
        <x:v>Precision</x:v>
      </x:c>
      <x:c r="I5" s="150" t="str">
        <x:v>Recall</x:v>
      </x:c>
      <x:c r="J5" s="150" t="str">
        <x:v>F1</x:v>
      </x:c>
      <x:c r="K5" s="150" t="str">
        <x:v>Specificity</x:v>
      </x:c>
      <x:c r="L5" s="150" t="str">
        <x:v>Threshold</x:v>
      </x:c>
      <x:c r="M5" s="150" t="str">
        <x:v>TN</x:v>
      </x:c>
      <x:c r="N5" s="150" t="str">
        <x:v>FP</x:v>
      </x:c>
      <x:c r="O5" s="150" t="str">
        <x:v>FN</x:v>
      </x:c>
      <x:c r="P5" s="150" t="str">
        <x:v>TP</x:v>
      </x:c>
    </x:row>
    <x:row r="6">
      <x:c r="A6" s="156" t="str">
        <x:v>Cost_Overrun_Flag</x:v>
      </x:c>
      <x:c r="B6" s="156" t="str">
        <x:v>Logistic Regression</x:v>
      </x:c>
      <x:c r="C6" s="156" t="str">
        <x:v>Validation</x:v>
      </x:c>
      <x:c r="D6" s="160" t="n">
        <x:v>0.8599073095373607</x:v>
      </x:c>
      <x:c r="E6" s="160" t="n">
        <x:v>0.7032229514241353</x:v>
      </x:c>
      <x:c r="F6" s="160" t="n">
        <x:v>0.15921430530005914</x:v>
      </x:c>
      <x:c r="G6" s="160" t="n">
        <x:v>0.7822349570200573</x:v>
      </x:c>
      <x:c r="H6" s="160" t="n">
        <x:v>0.5785714285714286</x:v>
      </x:c>
      <x:c r="I6" s="160" t="n">
        <x:v>0.826530612244898</x:v>
      </x:c>
      <x:c r="J6" s="160" t="n">
        <x:v>0.680672268907563</x:v>
      </x:c>
      <x:c r="K6" s="160" t="n">
        <x:v>0.7649402390438247</x:v>
      </x:c>
      <x:c r="L6" s="160" t="n">
        <x:v>0.505</x:v>
      </x:c>
      <x:c r="M6" s="156" t="n">
        <x:v>192</x:v>
      </x:c>
      <x:c r="N6" s="156" t="n">
        <x:v>59</x:v>
      </x:c>
      <x:c r="O6" s="156" t="n">
        <x:v>17</x:v>
      </x:c>
      <x:c r="P6" s="156" t="n">
        <x:v>81</x:v>
      </x:c>
    </x:row>
    <x:row r="7">
      <x:c r="A7" s="156" t="str">
        <x:v>Cost_Overrun_Flag</x:v>
      </x:c>
      <x:c r="B7" s="156" t="str">
        <x:v>Random Forest</x:v>
      </x:c>
      <x:c r="C7" s="156" t="str">
        <x:v>Validation</x:v>
      </x:c>
      <x:c r="D7" s="160" t="n">
        <x:v>0.876981868444589</x:v>
      </x:c>
      <x:c r="E7" s="160" t="n">
        <x:v>0.7238477119984114</x:v>
      </x:c>
      <x:c r="F7" s="160" t="n">
        <x:v>0.13985211803910816</x:v>
      </x:c>
      <x:c r="G7" s="160" t="n">
        <x:v>0.7994269340974212</x:v>
      </x:c>
      <x:c r="H7" s="160" t="n">
        <x:v>0.5945945945945946</x:v>
      </x:c>
      <x:c r="I7" s="160" t="n">
        <x:v>0.8979591836734694</x:v>
      </x:c>
      <x:c r="J7" s="160" t="n">
        <x:v>0.7154471544715447</x:v>
      </x:c>
      <x:c r="K7" s="160" t="n">
        <x:v>0.7609561752988048</x:v>
      </x:c>
      <x:c r="L7" s="160" t="n">
        <x:v>0.43500000000000005</x:v>
      </x:c>
      <x:c r="M7" s="156" t="n">
        <x:v>191</x:v>
      </x:c>
      <x:c r="N7" s="156" t="n">
        <x:v>60</x:v>
      </x:c>
      <x:c r="O7" s="156" t="n">
        <x:v>10</x:v>
      </x:c>
      <x:c r="P7" s="156" t="n">
        <x:v>88</x:v>
      </x:c>
    </x:row>
    <x:row r="8">
      <x:c r="A8" s="156" t="str">
        <x:v>Cost_Overrun_Flag</x:v>
      </x:c>
      <x:c r="B8" s="156" t="str">
        <x:v>Logistic Regression</x:v>
      </x:c>
      <x:c r="C8" s="156" t="str">
        <x:v>Test</x:v>
      </x:c>
      <x:c r="D8" s="160" t="n">
        <x:v>0.8903950103950105</x:v>
      </x:c>
      <x:c r="E8" s="160" t="n">
        <x:v>0.7601465800860796</x:v>
      </x:c>
      <x:c r="F8" s="160" t="n">
        <x:v>0.13315623758206582</x:v>
      </x:c>
      <x:c r="G8" s="160" t="n">
        <x:v>0.8165137614678899</x:v>
      </x:c>
      <x:c r="H8" s="160" t="n">
        <x:v>0.6013071895424836</x:v>
      </x:c>
      <x:c r="I8" s="160" t="n">
        <x:v>0.8288288288288288</x:v>
      </x:c>
      <x:c r="J8" s="160" t="n">
        <x:v>0.696969696969697</x:v>
      </x:c>
      <x:c r="K8" s="160" t="n">
        <x:v>0.8123076923076923</x:v>
      </x:c>
      <x:c r="L8" s="160" t="n">
        <x:v>0.505</x:v>
      </x:c>
      <x:c r="M8" s="156" t="n">
        <x:v>264</x:v>
      </x:c>
      <x:c r="N8" s="156" t="n">
        <x:v>61</x:v>
      </x:c>
      <x:c r="O8" s="156" t="n">
        <x:v>19</x:v>
      </x:c>
      <x:c r="P8" s="156" t="n">
        <x:v>92</x:v>
      </x:c>
    </x:row>
    <x:row r="9">
      <x:c r="A9" s="156" t="str">
        <x:v>Cost_Overrun_Flag</x:v>
      </x:c>
      <x:c r="B9" s="156" t="str">
        <x:v>Random Forest</x:v>
      </x:c>
      <x:c r="C9" s="156" t="str">
        <x:v>Test</x:v>
      </x:c>
      <x:c r="D9" s="160" t="n">
        <x:v>0.8990990990990991</x:v>
      </x:c>
      <x:c r="E9" s="160" t="n">
        <x:v>0.7742783234536805</x:v>
      </x:c>
      <x:c r="F9" s="160" t="n">
        <x:v>0.12286356694121951</x:v>
      </x:c>
      <x:c r="G9" s="160" t="n">
        <x:v>0.8279816513761468</x:v>
      </x:c>
      <x:c r="H9" s="160" t="n">
        <x:v>0.625</x:v>
      </x:c>
      <x:c r="I9" s="160" t="n">
        <x:v>0.8108108108108109</x:v>
      </x:c>
      <x:c r="J9" s="160" t="n">
        <x:v>0.7058823529411765</x:v>
      </x:c>
      <x:c r="K9" s="160" t="n">
        <x:v>0.8338461538461538</x:v>
      </x:c>
      <x:c r="L9" s="160" t="n">
        <x:v>0.43500000000000005</x:v>
      </x:c>
      <x:c r="M9" s="156" t="n">
        <x:v>271</x:v>
      </x:c>
      <x:c r="N9" s="156" t="n">
        <x:v>54</x:v>
      </x:c>
      <x:c r="O9" s="156" t="n">
        <x:v>21</x:v>
      </x:c>
      <x:c r="P9" s="156" t="n">
        <x:v>90</x:v>
      </x:c>
    </x:row>
    <x:row r="10">
      <x:c r="A10" s="156" t="str">
        <x:v>Schedule_Delay_Flag</x:v>
      </x:c>
      <x:c r="B10" s="156" t="str">
        <x:v>Logistic Regression</x:v>
      </x:c>
      <x:c r="C10" s="156" t="str">
        <x:v>Validation</x:v>
      </x:c>
      <x:c r="D10" s="160" t="n">
        <x:v>0.856495994427029</x:v>
      </x:c>
      <x:c r="E10" s="160" t="n">
        <x:v>0.6912972428344152</x:v>
      </x:c>
      <x:c r="F10" s="160" t="n">
        <x:v>0.16885261668182341</x:v>
      </x:c>
      <x:c r="G10" s="160" t="n">
        <x:v>0.836676217765043</x:v>
      </x:c>
      <x:c r="H10" s="160" t="n">
        <x:v>0.6741573033707865</x:v>
      </x:c>
      <x:c r="I10" s="160" t="n">
        <x:v>0.6818181818181818</x:v>
      </x:c>
      <x:c r="J10" s="160" t="n">
        <x:v>0.6779661016949152</x:v>
      </x:c>
      <x:c r="K10" s="160" t="n">
        <x:v>0.8888888888888888</x:v>
      </x:c>
      <x:c r="L10" s="160" t="n">
        <x:v>0.695</x:v>
      </x:c>
      <x:c r="M10" s="156" t="n">
        <x:v>232</x:v>
      </x:c>
      <x:c r="N10" s="156" t="n">
        <x:v>29</x:v>
      </x:c>
      <x:c r="O10" s="156" t="n">
        <x:v>28</x:v>
      </x:c>
      <x:c r="P10" s="156" t="n">
        <x:v>60</x:v>
      </x:c>
    </x:row>
    <x:row r="11">
      <x:c r="A11" s="156" t="str">
        <x:v>Schedule_Delay_Flag</x:v>
      </x:c>
      <x:c r="B11" s="156" t="str">
        <x:v>Random Forest</x:v>
      </x:c>
      <x:c r="C11" s="156" t="str">
        <x:v>Validation</x:v>
      </x:c>
      <x:c r="D11" s="160" t="n">
        <x:v>0.8517502612330199</x:v>
      </x:c>
      <x:c r="E11" s="160" t="n">
        <x:v>0.6865136641613448</x:v>
      </x:c>
      <x:c r="F11" s="160" t="n">
        <x:v>0.14723292340615982</x:v>
      </x:c>
      <x:c r="G11" s="160" t="n">
        <x:v>0.7793696275071633</x:v>
      </x:c>
      <x:c r="H11" s="160" t="n">
        <x:v>0.5426356589147286</x:v>
      </x:c>
      <x:c r="I11" s="160" t="n">
        <x:v>0.7954545454545454</x:v>
      </x:c>
      <x:c r="J11" s="160" t="n">
        <x:v>0.6451612903225806</x:v>
      </x:c>
      <x:c r="K11" s="160" t="n">
        <x:v>0.7739463601532567</x:v>
      </x:c>
      <x:c r="L11" s="160" t="n">
        <x:v>0.44000000000000006</x:v>
      </x:c>
      <x:c r="M11" s="156" t="n">
        <x:v>202</x:v>
      </x:c>
      <x:c r="N11" s="156" t="n">
        <x:v>59</x:v>
      </x:c>
      <x:c r="O11" s="156" t="n">
        <x:v>18</x:v>
      </x:c>
      <x:c r="P11" s="156" t="n">
        <x:v>70</x:v>
      </x:c>
    </x:row>
    <x:row r="12">
      <x:c r="A12" s="156" t="str">
        <x:v>Schedule_Delay_Flag</x:v>
      </x:c>
      <x:c r="B12" s="156" t="str">
        <x:v>Logistic Regression</x:v>
      </x:c>
      <x:c r="C12" s="156" t="str">
        <x:v>Test</x:v>
      </x:c>
      <x:c r="D12" s="160" t="n">
        <x:v>0.7560797342192692</x:v>
      </x:c>
      <x:c r="E12" s="160" t="n">
        <x:v>0.5236284143171703</x:v>
      </x:c>
      <x:c r="F12" s="160" t="n">
        <x:v>0.18310684769783422</x:v>
      </x:c>
      <x:c r="G12" s="160" t="n">
        <x:v>0.8096330275229358</x:v>
      </x:c>
      <x:c r="H12" s="160" t="n">
        <x:v>0.52</x:v>
      </x:c>
      <x:c r="I12" s="160" t="n">
        <x:v>0.45348837209302323</x:v>
      </x:c>
      <x:c r="J12" s="160" t="n">
        <x:v>0.484472049689441</x:v>
      </x:c>
      <x:c r="K12" s="160" t="n">
        <x:v>0.8971428571428571</x:v>
      </x:c>
      <x:c r="L12" s="160" t="n">
        <x:v>0.695</x:v>
      </x:c>
      <x:c r="M12" s="156" t="n">
        <x:v>314</x:v>
      </x:c>
      <x:c r="N12" s="156" t="n">
        <x:v>36</x:v>
      </x:c>
      <x:c r="O12" s="156" t="n">
        <x:v>47</x:v>
      </x:c>
      <x:c r="P12" s="156" t="n">
        <x:v>39</x:v>
      </x:c>
    </x:row>
    <x:row r="13">
      <x:c r="A13" s="156" t="str">
        <x:v>Schedule_Delay_Flag</x:v>
      </x:c>
      <x:c r="B13" s="156" t="str">
        <x:v>Random Forest</x:v>
      </x:c>
      <x:c r="C13" s="156" t="str">
        <x:v>Test</x:v>
      </x:c>
      <x:c r="D13" s="160" t="n">
        <x:v>0.7528239202657807</x:v>
      </x:c>
      <x:c r="E13" s="160" t="n">
        <x:v>0.48804590468111586</x:v>
      </x:c>
      <x:c r="F13" s="160" t="n">
        <x:v>0.1584195438230468</x:v>
      </x:c>
      <x:c r="G13" s="160" t="n">
        <x:v>0.7339449541284404</x:v>
      </x:c>
      <x:c r="H13" s="160" t="n">
        <x:v>0.3828125</x:v>
      </x:c>
      <x:c r="I13" s="160" t="n">
        <x:v>0.5697674418604651</x:v>
      </x:c>
      <x:c r="J13" s="160" t="n">
        <x:v>0.45794392523364486</x:v>
      </x:c>
      <x:c r="K13" s="160" t="n">
        <x:v>0.7742857142857142</x:v>
      </x:c>
      <x:c r="L13" s="160" t="n">
        <x:v>0.44000000000000006</x:v>
      </x:c>
      <x:c r="M13" s="156" t="n">
        <x:v>271</x:v>
      </x:c>
      <x:c r="N13" s="156" t="n">
        <x:v>79</x:v>
      </x:c>
      <x:c r="O13" s="156" t="n">
        <x:v>37</x:v>
      </x:c>
      <x:c r="P13" s="156" t="n">
        <x:v>49</x:v>
      </x:c>
    </x:row>
  </x:sheetData>
  <x:mergeCells>
    <x:mergeCell ref="A1:P1"/>
    <x:mergeCell ref="A2:H3"/>
  </x:mergeCells>
  <x:pageMargins left="0.7" right="0.7" top="0.75" bottom="0.75" header="0.3" footer="0.3"/>
  <x:tableParts count="1">
    <x:tablePart xmlns:r="http://schemas.openxmlformats.org/officeDocument/2006/relationships" r:id="R8719df2b359b4a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</x:cols>
  <x:sheetData>
    <x:row r="1" ht="32" customHeight="1">
      <x:c r="A1" s="4" t="str">
        <x:v>Regression Model Performance</x:v>
      </x:c>
      <x:c r="B1" s="4"/>
      <x:c r="C1" s="4"/>
      <x:c r="D1" s="4"/>
      <x:c r="E1" s="4"/>
      <x:c r="F1" s="4"/>
    </x:row>
    <x:row r="2">
      <x:c r="A2" s="11" t="str">
        <x:v>Magnitude prediction complements classification.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Target</x:v>
      </x:c>
      <x:c r="B5" s="150" t="str">
        <x:v>Model</x:v>
      </x:c>
      <x:c r="C5" s="150" t="str">
        <x:v>Split</x:v>
      </x:c>
      <x:c r="D5" s="150" t="str">
        <x:v>MAE</x:v>
      </x:c>
      <x:c r="E5" s="150" t="str">
        <x:v>RMSE</x:v>
      </x:c>
      <x:c r="F5" s="150" t="str">
        <x:v>R²</x:v>
      </x:c>
    </x:row>
    <x:row r="6">
      <x:c r="A6" s="156" t="str">
        <x:v>Final_Cost_Overrun_Pct</x:v>
      </x:c>
      <x:c r="B6" s="156" t="str">
        <x:v>Ridge Regression</x:v>
      </x:c>
      <x:c r="C6" s="156" t="str">
        <x:v>Validation</x:v>
      </x:c>
      <x:c r="D6" s="160" t="n">
        <x:v>0.03372192045544292</x:v>
      </x:c>
      <x:c r="E6" s="160" t="n">
        <x:v>0.043072995317767544</x:v>
      </x:c>
      <x:c r="F6" s="160" t="n">
        <x:v>0.48110535408166044</x:v>
      </x:c>
    </x:row>
    <x:row r="7">
      <x:c r="A7" s="156" t="str">
        <x:v>Final_Cost_Overrun_Pct</x:v>
      </x:c>
      <x:c r="B7" s="156" t="str">
        <x:v>Random Forest Regressor</x:v>
      </x:c>
      <x:c r="C7" s="156" t="str">
        <x:v>Validation</x:v>
      </x:c>
      <x:c r="D7" s="160" t="n">
        <x:v>0.032640047044978214</x:v>
      </x:c>
      <x:c r="E7" s="160" t="n">
        <x:v>0.04152172862552072</x:v>
      </x:c>
      <x:c r="F7" s="160" t="n">
        <x:v>0.5178081194233473</x:v>
      </x:c>
    </x:row>
    <x:row r="8">
      <x:c r="A8" s="156" t="str">
        <x:v>Final_Cost_Overrun_Pct</x:v>
      </x:c>
      <x:c r="B8" s="156" t="str">
        <x:v>Ridge Regression</x:v>
      </x:c>
      <x:c r="C8" s="156" t="str">
        <x:v>Test</x:v>
      </x:c>
      <x:c r="D8" s="160" t="n">
        <x:v>0.032119134032086986</x:v>
      </x:c>
      <x:c r="E8" s="160" t="n">
        <x:v>0.04074091905591144</x:v>
      </x:c>
      <x:c r="F8" s="160" t="n">
        <x:v>0.5200199968969929</x:v>
      </x:c>
    </x:row>
    <x:row r="9">
      <x:c r="A9" s="156" t="str">
        <x:v>Final_Cost_Overrun_Pct</x:v>
      </x:c>
      <x:c r="B9" s="156" t="str">
        <x:v>Random Forest Regressor</x:v>
      </x:c>
      <x:c r="C9" s="156" t="str">
        <x:v>Test</x:v>
      </x:c>
      <x:c r="D9" s="160" t="n">
        <x:v>0.03245901993026378</x:v>
      </x:c>
      <x:c r="E9" s="160" t="n">
        <x:v>0.040973284231740154</x:v>
      </x:c>
      <x:c r="F9" s="160" t="n">
        <x:v>0.5145292668395652</x:v>
      </x:c>
    </x:row>
    <x:row r="10">
      <x:c r="A10" s="156" t="str">
        <x:v>Final_Schedule_Delay_Days</x:v>
      </x:c>
      <x:c r="B10" s="156" t="str">
        <x:v>Ridge Regression</x:v>
      </x:c>
      <x:c r="C10" s="156" t="str">
        <x:v>Validation</x:v>
      </x:c>
      <x:c r="D10" s="160" t="n">
        <x:v>15.762129247053526</x:v>
      </x:c>
      <x:c r="E10" s="160" t="n">
        <x:v>19.297584080019604</x:v>
      </x:c>
      <x:c r="F10" s="160" t="n">
        <x:v>0.4395020764140065</x:v>
      </x:c>
    </x:row>
    <x:row r="11">
      <x:c r="A11" s="156" t="str">
        <x:v>Final_Schedule_Delay_Days</x:v>
      </x:c>
      <x:c r="B11" s="156" t="str">
        <x:v>Random Forest Regressor</x:v>
      </x:c>
      <x:c r="C11" s="156" t="str">
        <x:v>Validation</x:v>
      </x:c>
      <x:c r="D11" s="160" t="n">
        <x:v>16.038672421071066</x:v>
      </x:c>
      <x:c r="E11" s="160" t="n">
        <x:v>19.741164106409396</x:v>
      </x:c>
      <x:c r="F11" s="160" t="n">
        <x:v>0.41343838110653897</x:v>
      </x:c>
    </x:row>
    <x:row r="12">
      <x:c r="A12" s="156" t="str">
        <x:v>Final_Schedule_Delay_Days</x:v>
      </x:c>
      <x:c r="B12" s="156" t="str">
        <x:v>Ridge Regression</x:v>
      </x:c>
      <x:c r="C12" s="156" t="str">
        <x:v>Test</x:v>
      </x:c>
      <x:c r="D12" s="160" t="n">
        <x:v>15.528141087689615</x:v>
      </x:c>
      <x:c r="E12" s="160" t="n">
        <x:v>19.498591302780397</x:v>
      </x:c>
      <x:c r="F12" s="160" t="n">
        <x:v>0.29390568083490687</x:v>
      </x:c>
    </x:row>
    <x:row r="13">
      <x:c r="A13" s="156" t="str">
        <x:v>Final_Schedule_Delay_Days</x:v>
      </x:c>
      <x:c r="B13" s="156" t="str">
        <x:v>Random Forest Regressor</x:v>
      </x:c>
      <x:c r="C13" s="156" t="str">
        <x:v>Test</x:v>
      </x:c>
      <x:c r="D13" s="160" t="n">
        <x:v>15.403008960857107</x:v>
      </x:c>
      <x:c r="E13" s="160" t="n">
        <x:v>18.953239589446163</x:v>
      </x:c>
      <x:c r="F13" s="160" t="n">
        <x:v>0.33285052318581365</x:v>
      </x:c>
    </x:row>
  </x:sheetData>
  <x:mergeCells>
    <x:mergeCell ref="A1:F1"/>
    <x:mergeCell ref="A2:H3"/>
  </x:mergeCells>
  <x:pageMargins left="0.7" right="0.7" top="0.75" bottom="0.75" header="0.3" footer="0.3"/>
  <x:tableParts count="1">
    <x:tablePart xmlns:r="http://schemas.openxmlformats.org/officeDocument/2006/relationships" r:id="R79f5f86b3d1442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20" hidden="0" customWidth="1"/>
    <x:col min="4" max="4" width="18" hidden="0" customWidth="1"/>
  </x:cols>
  <x:sheetData>
    <x:row r="1" ht="32" customHeight="1">
      <x:c r="A1" s="4" t="str">
        <x:v>Permutation Feature Importance</x:v>
      </x:c>
      <x:c r="B1" s="4"/>
      <x:c r="C1" s="4"/>
      <x:c r="D1" s="4"/>
      <x:c r="E1" s="4"/>
      <x:c r="F1" s="4"/>
      <x:c r="G1" s="4"/>
    </x:row>
    <x:row r="2">
      <x:c r="A2" s="11" t="str">
        <x:v>Importance is measured on the held-out 2025 test set.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Target</x:v>
      </x:c>
      <x:c r="B5" s="150" t="str">
        <x:v>Feature</x:v>
      </x:c>
      <x:c r="C5" s="150" t="str">
        <x:v>Importance Mean</x:v>
      </x:c>
      <x:c r="D5" s="150" t="str">
        <x:v>Importance Std</x:v>
      </x:c>
    </x:row>
    <x:row r="6">
      <x:c r="A6" s="156" t="str">
        <x:v>Cost Overrun</x:v>
      </x:c>
      <x:c r="B6" s="156" t="str">
        <x:v>CPI_Snapshot</x:v>
      </x:c>
      <x:c r="C6" s="162" t="n">
        <x:v>0.05017325017325018</x:v>
      </x:c>
      <x:c r="D6" s="162" t="n">
        <x:v>0.008526330865065195</x:v>
      </x:c>
    </x:row>
    <x:row r="7">
      <x:c r="A7" s="156" t="str">
        <x:v>Cost Overrun</x:v>
      </x:c>
      <x:c r="B7" s="156" t="str">
        <x:v>Cost_Variance_Pct_Snapshot</x:v>
      </x:c>
      <x:c r="C7" s="162" t="n">
        <x:v>0.028918918918918915</x:v>
      </x:c>
      <x:c r="D7" s="162" t="n">
        <x:v>0.005598720817902763</x:v>
      </x:c>
    </x:row>
    <x:row r="8">
      <x:c r="A8" s="156" t="str">
        <x:v>Cost Overrun</x:v>
      </x:c>
      <x:c r="B8" s="156" t="str">
        <x:v>Approved_Change_Value_Pct_Budget</x:v>
      </x:c>
      <x:c r="C8" s="162" t="n">
        <x:v>0.007972972972972989</x:v>
      </x:c>
      <x:c r="D8" s="162" t="n">
        <x:v>0.002122888038281267</x:v>
      </x:c>
    </x:row>
    <x:row r="9">
      <x:c r="A9" s="156" t="str">
        <x:v>Cost Overrun</x:v>
      </x:c>
      <x:c r="B9" s="156" t="str">
        <x:v>Pending_Change_Exposure_Pct_Budget</x:v>
      </x:c>
      <x:c r="C9" s="162" t="n">
        <x:v>0.003038808038808044</x:v>
      </x:c>
      <x:c r="D9" s="162" t="n">
        <x:v>0.0013257838621656606</x:v>
      </x:c>
    </x:row>
    <x:row r="10">
      <x:c r="A10" s="156" t="str">
        <x:v>Cost Overrun</x:v>
      </x:c>
      <x:c r="B10" s="156" t="str">
        <x:v>Labor_Productivity_Index</x:v>
      </x:c>
      <x:c r="C10" s="162" t="n">
        <x:v>0.0025641025641025966</x:v>
      </x:c>
      <x:c r="D10" s="162" t="n">
        <x:v>0.0009599498029617663</x:v>
      </x:c>
    </x:row>
    <x:row r="11">
      <x:c r="A11" s="156" t="str">
        <x:v>Cost Overrun</x:v>
      </x:c>
      <x:c r="B11" s="156" t="str">
        <x:v>Contingency_Utilization_Pct</x:v>
      </x:c>
      <x:c r="C11" s="162" t="n">
        <x:v>0.002151767151767181</x:v>
      </x:c>
      <x:c r="D11" s="162" t="n">
        <x:v>0.0014019140245032666</x:v>
      </x:c>
    </x:row>
    <x:row r="12">
      <x:c r="A12" s="156" t="str">
        <x:v>Cost Overrun</x:v>
      </x:c>
      <x:c r="B12" s="156" t="str">
        <x:v>Procurement_Delay_Days_to_Date</x:v>
      </x:c>
      <x:c r="C12" s="162" t="n">
        <x:v>0.001985446985446976</x:v>
      </x:c>
      <x:c r="D12" s="162" t="n">
        <x:v>0.001821099151879436</x:v>
      </x:c>
    </x:row>
    <x:row r="13">
      <x:c r="A13" s="156" t="str">
        <x:v>Cost Overrun</x:v>
      </x:c>
      <x:c r="B13" s="156" t="str">
        <x:v>SPI_Snapshot</x:v>
      </x:c>
      <x:c r="C13" s="162" t="n">
        <x:v>0.001334026334026378</x:v>
      </x:c>
      <x:c r="D13" s="162" t="n">
        <x:v>0.0013023574026521847</x:v>
      </x:c>
    </x:row>
    <x:row r="14">
      <x:c r="A14" s="156" t="str">
        <x:v>Cost Overrun</x:v>
      </x:c>
      <x:c r="B14" s="156" t="str">
        <x:v>Snapshot_Data_Completeness_Pct</x:v>
      </x:c>
      <x:c r="C14" s="162" t="n">
        <x:v>0.0012058212058212309</x:v>
      </x:c>
      <x:c r="D14" s="162" t="n">
        <x:v>0.0011726259791178082</x:v>
      </x:c>
    </x:row>
    <x:row r="15">
      <x:c r="A15" s="156" t="str">
        <x:v>Cost Overrun</x:v>
      </x:c>
      <x:c r="B15" s="156" t="str">
        <x:v>Complexity_Level</x:v>
      </x:c>
      <x:c r="C15" s="162" t="n">
        <x:v>0.0009667359667360209</x:v>
      </x:c>
      <x:c r="D15" s="162" t="n">
        <x:v>0.0008953866638546815</x:v>
      </x:c>
    </x:row>
    <x:row r="16">
      <x:c r="A16" s="156" t="str">
        <x:v>Cost Overrun</x:v>
      </x:c>
      <x:c r="B16" s="156" t="str">
        <x:v>Schedule_Variance_Days_Snapshot</x:v>
      </x:c>
      <x:c r="C16" s="162" t="n">
        <x:v>0.000914760914760962</x:v>
      </x:c>
      <x:c r="D16" s="162" t="n">
        <x:v>0.0012351753213672282</x:v>
      </x:c>
    </x:row>
    <x:row r="17">
      <x:c r="A17" s="156" t="str">
        <x:v>Cost Overrun</x:v>
      </x:c>
      <x:c r="B17" s="156" t="str">
        <x:v>Safety_Incident_Rate_to_Date</x:v>
      </x:c>
      <x:c r="C17" s="162" t="n">
        <x:v>0.0007830907830908285</x:v>
      </x:c>
      <x:c r="D17" s="162" t="n">
        <x:v>0.0008057604616753438</x:v>
      </x:c>
    </x:row>
    <x:row r="18">
      <x:c r="A18" s="156" t="str">
        <x:v>Cost Overrun</x:v>
      </x:c>
      <x:c r="B18" s="156" t="str">
        <x:v>Actual_Percent_Complete</x:v>
      </x:c>
      <x:c r="C18" s="162" t="n">
        <x:v>0.0006895356895356974</x:v>
      </x:c>
      <x:c r="D18" s="162" t="n">
        <x:v>0.0005181194086986031</x:v>
      </x:c>
    </x:row>
    <x:row r="19">
      <x:c r="A19" s="156" t="str">
        <x:v>Cost Overrun</x:v>
      </x:c>
      <x:c r="B19" s="156" t="str">
        <x:v>Contract_Type</x:v>
      </x:c>
      <x:c r="C19" s="162" t="n">
        <x:v>0.000485100485100573</x:v>
      </x:c>
      <x:c r="D19" s="162" t="n">
        <x:v>0.0003528183523591944</x:v>
      </x:c>
    </x:row>
    <x:row r="20">
      <x:c r="A20" s="156" t="str">
        <x:v>Cost Overrun</x:v>
      </x:c>
      <x:c r="B20" s="156" t="str">
        <x:v>Planned_Duration_Days</x:v>
      </x:c>
      <x:c r="C20" s="162" t="n">
        <x:v>0.0004331254331255002</x:v>
      </x:c>
      <x:c r="D20" s="162" t="n">
        <x:v>0.00040024914812353664</x:v>
      </x:c>
    </x:row>
    <x:row r="21">
      <x:c r="A21" s="156" t="str">
        <x:v>Schedule Delay</x:v>
      </x:c>
      <x:c r="B21" s="156" t="str">
        <x:v>SPI_Snapshot</x:v>
      </x:c>
      <x:c r="C21" s="162" t="n">
        <x:v>0.13424418604651173</x:v>
      </x:c>
      <x:c r="D21" s="162" t="n">
        <x:v>0.02734023857373624</x:v>
      </x:c>
    </x:row>
    <x:row r="22">
      <x:c r="A22" s="156" t="str">
        <x:v>Schedule Delay</x:v>
      </x:c>
      <x:c r="B22" s="156" t="str">
        <x:v>Planned_Percent_Complete</x:v>
      </x:c>
      <x:c r="C22" s="162" t="n">
        <x:v>0.03247508305647853</x:v>
      </x:c>
      <x:c r="D22" s="162" t="n">
        <x:v>0.013773028199357235</x:v>
      </x:c>
    </x:row>
    <x:row r="23">
      <x:c r="A23" s="156" t="str">
        <x:v>Schedule Delay</x:v>
      </x:c>
      <x:c r="B23" s="156" t="str">
        <x:v>Procurement_Delay_Days_to_Date</x:v>
      </x:c>
      <x:c r="C23" s="162" t="n">
        <x:v>0.02989202657807319</x:v>
      </x:c>
      <x:c r="D23" s="162" t="n">
        <x:v>0.006702359332525305</x:v>
      </x:c>
    </x:row>
    <x:row r="24">
      <x:c r="A24" s="156" t="str">
        <x:v>Schedule Delay</x:v>
      </x:c>
      <x:c r="B24" s="156" t="str">
        <x:v>Overdue_RFI_Rate</x:v>
      </x:c>
      <x:c r="C24" s="162" t="n">
        <x:v>0.02149916943521603</x:v>
      </x:c>
      <x:c r="D24" s="162" t="n">
        <x:v>0.008941868912710663</x:v>
      </x:c>
    </x:row>
    <x:row r="25">
      <x:c r="A25" s="156" t="str">
        <x:v>Schedule Delay</x:v>
      </x:c>
      <x:c r="B25" s="156" t="str">
        <x:v>Old_Pending_Change_Rate</x:v>
      </x:c>
      <x:c r="C25" s="162" t="n">
        <x:v>0.010697674418604766</x:v>
      </x:c>
      <x:c r="D25" s="162" t="n">
        <x:v>0.0066645876310678495</x:v>
      </x:c>
    </x:row>
    <x:row r="26">
      <x:c r="A26" s="156" t="str">
        <x:v>Schedule Delay</x:v>
      </x:c>
      <x:c r="B26" s="156" t="str">
        <x:v>Actual_Percent_Complete</x:v>
      </x:c>
      <x:c r="C26" s="162" t="n">
        <x:v>0.009547342192691155</x:v>
      </x:c>
      <x:c r="D26" s="162" t="n">
        <x:v>0.01115569326135163</x:v>
      </x:c>
    </x:row>
    <x:row r="27">
      <x:c r="A27" s="156" t="str">
        <x:v>Schedule Delay</x:v>
      </x:c>
      <x:c r="B27" s="156" t="str">
        <x:v>RFI_On_Time_Rate</x:v>
      </x:c>
      <x:c r="C27" s="162" t="n">
        <x:v>0.005963455149501751</x:v>
      </x:c>
      <x:c r="D27" s="162" t="n">
        <x:v>0.003373565624481274</x:v>
      </x:c>
    </x:row>
    <x:row r="28">
      <x:c r="A28" s="156" t="str">
        <x:v>Schedule Delay</x:v>
      </x:c>
      <x:c r="B28" s="156" t="str">
        <x:v>Revision_Loop_Rate</x:v>
      </x:c>
      <x:c r="C28" s="162" t="n">
        <x:v>0.005099667774086533</x:v>
      </x:c>
      <x:c r="D28" s="162" t="n">
        <x:v>0.0031506334089487706</x:v>
      </x:c>
    </x:row>
    <x:row r="29">
      <x:c r="A29" s="156" t="str">
        <x:v>Schedule Delay</x:v>
      </x:c>
      <x:c r="B29" s="156" t="str">
        <x:v>Complexity_Level</x:v>
      </x:c>
      <x:c r="C29" s="162" t="n">
        <x:v>0.004966777408638032</x:v>
      </x:c>
      <x:c r="D29" s="162" t="n">
        <x:v>0.002505223513963105</x:v>
      </x:c>
    </x:row>
    <x:row r="30">
      <x:c r="A30" s="156" t="str">
        <x:v>Schedule Delay</x:v>
      </x:c>
      <x:c r="B30" s="156" t="str">
        <x:v>Project_Type</x:v>
      </x:c>
      <x:c r="C30" s="162" t="n">
        <x:v>0.003766611295681205</x:v>
      </x:c>
      <x:c r="D30" s="162" t="n">
        <x:v>0.0017644713049817281</x:v>
      </x:c>
    </x:row>
    <x:row r="31">
      <x:c r="A31" s="156" t="str">
        <x:v>Schedule Delay</x:v>
      </x:c>
      <x:c r="B31" s="156" t="str">
        <x:v>Change_Approval_Cycle_Days</x:v>
      </x:c>
      <x:c r="C31" s="162" t="n">
        <x:v>0.0035963455149503054</x:v>
      </x:c>
      <x:c r="D31" s="162" t="n">
        <x:v>0.003081999743718734</x:v>
      </x:c>
    </x:row>
    <x:row r="32">
      <x:c r="A32" s="156" t="str">
        <x:v>Schedule Delay</x:v>
      </x:c>
      <x:c r="B32" s="156" t="str">
        <x:v>Approved_Change_Value_Pct_Budget</x:v>
      </x:c>
      <x:c r="C32" s="162" t="n">
        <x:v>0.0027740863787376335</x:v>
      </x:c>
      <x:c r="D32" s="162" t="n">
        <x:v>0.0010969745502391593</x:v>
      </x:c>
    </x:row>
    <x:row r="33">
      <x:c r="A33" s="156" t="str">
        <x:v>Schedule Delay</x:v>
      </x:c>
      <x:c r="B33" s="156" t="str">
        <x:v>Labor_Productivity_Index</x:v>
      </x:c>
      <x:c r="C33" s="162" t="n">
        <x:v>0.002030730897010058</x:v>
      </x:c>
      <x:c r="D33" s="162" t="n">
        <x:v>0.000882189224758542</x:v>
      </x:c>
    </x:row>
    <x:row r="34">
      <x:c r="A34" s="156" t="str">
        <x:v>Schedule Delay</x:v>
      </x:c>
      <x:c r="B34" s="156" t="str">
        <x:v>Owner_Decision_Profile</x:v>
      </x:c>
      <x:c r="C34" s="162" t="n">
        <x:v>0.0015905315614618831</x:v>
      </x:c>
      <x:c r="D34" s="162" t="n">
        <x:v>0.0031519222259427013</x:v>
      </x:c>
    </x:row>
    <x:row r="35">
      <x:c r="A35" s="156" t="str">
        <x:v>Schedule Delay</x:v>
      </x:c>
      <x:c r="B35" s="156" t="str">
        <x:v>Weather_Impact_Days_to_Date</x:v>
      </x:c>
      <x:c r="C35" s="162" t="n">
        <x:v>0.0012790697674419926</x:v>
      </x:c>
      <x:c r="D35" s="162" t="n">
        <x:v>0.000773094769316953</x:v>
      </x:c>
    </x:row>
  </x:sheetData>
  <x:mergeCells>
    <x:mergeCell ref="A1:G1"/>
    <x:mergeCell ref="A2:H3"/>
  </x:mergeCells>
  <x:conditionalFormatting sqref="C6:C35">
    <x:cfRule type="dataBar" priority="1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{85B99D5A-F109-21BF-992C-2CEE247AB8BC}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ea03adadf244b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5B99D5A-F109-21BF-992C-2CEE247AB8BC}">
            <x14:dataBar gradient="1">
              <x14:cfvo type="min"/>
              <x14:cfvo type="max"/>
              <x14:fillColor rgb="FF1EA7C5"/>
            </x14:dataBar>
          </x14:cfRule>
          <xm:sqref>C6:C35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8" hidden="0" customWidth="1"/>
    <x:col min="4" max="4" width="16" hidden="0" customWidth="1"/>
    <x:col min="5" max="5" width="18" hidden="0" customWidth="1"/>
    <x:col min="6" max="6" width="15" hidden="0" customWidth="1"/>
    <x:col min="7" max="7" width="17" hidden="0" customWidth="1"/>
    <x:col min="8" max="8" width="15" hidden="0" customWidth="1"/>
    <x:col min="9" max="9" width="12" hidden="0" customWidth="1"/>
    <x:col min="10" max="10" width="16" hidden="0" customWidth="1"/>
    <x:col min="11" max="11" width="19" hidden="0" customWidth="1"/>
  </x:cols>
  <x:sheetData>
    <x:row r="1" ht="32" customHeight="1">
      <x:c r="A1" s="4" t="str">
        <x:v>Test Project Risk Scoring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1" t="str">
        <x:v>Probabilities support human review; actual outcomes are retained for evaluation.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Project ID</x:v>
      </x:c>
      <x:c r="B5" s="150" t="str">
        <x:v>Project</x:v>
      </x:c>
      <x:c r="C5" s="150" t="str">
        <x:v>Type</x:v>
      </x:c>
      <x:c r="D5" s="150" t="str">
        <x:v>Complexity</x:v>
      </x:c>
      <x:c r="E5" s="150" t="str">
        <x:v>Owner Decision</x:v>
      </x:c>
      <x:c r="F5" s="150" t="str">
        <x:v>Cost Prob.</x:v>
      </x:c>
      <x:c r="G5" s="150" t="str">
        <x:v>Schedule Prob.</x:v>
      </x:c>
      <x:c r="H5" s="150" t="str">
        <x:v>Overall Prob.</x:v>
      </x:c>
      <x:c r="I5" s="150" t="str">
        <x:v>Band</x:v>
      </x:c>
      <x:c r="J5" s="150" t="str">
        <x:v>Actual Cost Flag</x:v>
      </x:c>
      <x:c r="K5" s="150" t="str">
        <x:v>Actual Schedule Flag</x:v>
      </x:c>
    </x:row>
    <x:row r="6">
      <x:c r="A6" s="156" t="str">
        <x:v>PRJ3-01418</x:v>
      </x:c>
      <x:c r="B6" s="156" t="str">
        <x:v>Gateway Bridge Program 1418</x:v>
      </x:c>
      <x:c r="C6" s="156" t="str">
        <x:v>Heavy Civil</x:v>
      </x:c>
      <x:c r="D6" s="156" t="str">
        <x:v>Very High</x:v>
      </x:c>
      <x:c r="E6" s="156" t="str">
        <x:v>Slow</x:v>
      </x:c>
      <x:c r="F6" s="158" t="n">
        <x:v>0.9399010320458105</x:v>
      </x:c>
      <x:c r="G6" s="158" t="n">
        <x:v>0.974275627409519</x:v>
      </x:c>
      <x:c r="H6" s="158" t="n">
        <x:v>0.9984539917560431</x:v>
      </x:c>
      <x:c r="I6" s="156" t="str">
        <x:v>Red</x:v>
      </x:c>
      <x:c r="J6" s="156" t="n">
        <x:v>1</x:v>
      </x:c>
      <x:c r="K6" s="156" t="n">
        <x:v>1</x:v>
      </x:c>
    </x:row>
    <x:row r="7">
      <x:c r="A7" s="156" t="str">
        <x:v>PRJ3-01705</x:v>
      </x:c>
      <x:c r="B7" s="156" t="str">
        <x:v>Granite Urban Village 1705</x:v>
      </x:c>
      <x:c r="C7" s="156" t="str">
        <x:v>Mixed-Use</x:v>
      </x:c>
      <x:c r="D7" s="156" t="str">
        <x:v>Very High</x:v>
      </x:c>
      <x:c r="E7" s="156" t="str">
        <x:v>Slow</x:v>
      </x:c>
      <x:c r="F7" s="158" t="n">
        <x:v>0.8906580948302405</x:v>
      </x:c>
      <x:c r="G7" s="158" t="n">
        <x:v>0.9774580536611016</x:v>
      </x:c>
      <x:c r="H7" s="158" t="n">
        <x:v>0.9975352206410704</x:v>
      </x:c>
      <x:c r="I7" s="156" t="str">
        <x:v>Red</x:v>
      </x:c>
      <x:c r="J7" s="156" t="n">
        <x:v>1</x:v>
      </x:c>
      <x:c r="K7" s="156" t="n">
        <x:v>1</x:v>
      </x:c>
    </x:row>
    <x:row r="8">
      <x:c r="A8" s="156" t="str">
        <x:v>PRJ3-00034</x:v>
      </x:c>
      <x:c r="B8" s="156" t="str">
        <x:v>Horizon Neighborhood 34</x:v>
      </x:c>
      <x:c r="C8" s="156" t="str">
        <x:v>Residential</x:v>
      </x:c>
      <x:c r="D8" s="156" t="str">
        <x:v>Very High</x:v>
      </x:c>
      <x:c r="E8" s="156" t="str">
        <x:v>Slow</x:v>
      </x:c>
      <x:c r="F8" s="158" t="n">
        <x:v>0.8029700587306873</x:v>
      </x:c>
      <x:c r="G8" s="158" t="n">
        <x:v>0.9679332651093985</x:v>
      </x:c>
      <x:c r="H8" s="158" t="n">
        <x:v>0.9936818931078062</x:v>
      </x:c>
      <x:c r="I8" s="156" t="str">
        <x:v>Red</x:v>
      </x:c>
      <x:c r="J8" s="156" t="n">
        <x:v>1</x:v>
      </x:c>
      <x:c r="K8" s="156" t="n">
        <x:v>1</x:v>
      </x:c>
    </x:row>
    <x:row r="9">
      <x:c r="A9" s="156" t="str">
        <x:v>PRJ3-01716</x:v>
      </x:c>
      <x:c r="B9" s="156" t="str">
        <x:v>Redwood Logistics Center 1716</x:v>
      </x:c>
      <x:c r="C9" s="156" t="str">
        <x:v>Industrial</x:v>
      </x:c>
      <x:c r="D9" s="156" t="str">
        <x:v>Very High</x:v>
      </x:c>
      <x:c r="E9" s="156" t="str">
        <x:v>Slow</x:v>
      </x:c>
      <x:c r="F9" s="158" t="n">
        <x:v>0.9164024836914005</x:v>
      </x:c>
      <x:c r="G9" s="158" t="n">
        <x:v>0.9093088879040226</x:v>
      </x:c>
      <x:c r="H9" s="158" t="n">
        <x:v>0.9924184482775115</x:v>
      </x:c>
      <x:c r="I9" s="156" t="str">
        <x:v>Red</x:v>
      </x:c>
      <x:c r="J9" s="156" t="n">
        <x:v>1</x:v>
      </x:c>
      <x:c r="K9" s="156" t="n">
        <x:v>1</x:v>
      </x:c>
    </x:row>
    <x:row r="10">
      <x:c r="A10" s="156" t="str">
        <x:v>PRJ3-00702</x:v>
      </x:c>
      <x:c r="B10" s="156" t="str">
        <x:v>Aspen Corporate Center 702</x:v>
      </x:c>
      <x:c r="C10" s="156" t="str">
        <x:v>Commercial</x:v>
      </x:c>
      <x:c r="D10" s="156" t="str">
        <x:v>High</x:v>
      </x:c>
      <x:c r="E10" s="156" t="str">
        <x:v>Slow</x:v>
      </x:c>
      <x:c r="F10" s="158" t="n">
        <x:v>0.9178694043852336</x:v>
      </x:c>
      <x:c r="G10" s="158" t="n">
        <x:v>0.891652346834567</x:v>
      </x:c>
      <x:c r="H10" s="158" t="n">
        <x:v>0.9911013427120609</x:v>
      </x:c>
      <x:c r="I10" s="156" t="str">
        <x:v>Red</x:v>
      </x:c>
      <x:c r="J10" s="156" t="n">
        <x:v>1</x:v>
      </x:c>
      <x:c r="K10" s="156" t="n">
        <x:v>1</x:v>
      </x:c>
    </x:row>
    <x:row r="11">
      <x:c r="A11" s="156" t="str">
        <x:v>PRJ3-01925</x:v>
      </x:c>
      <x:c r="B11" s="156" t="str">
        <x:v>Northstar Highway Improvements 1925</x:v>
      </x:c>
      <x:c r="C11" s="156" t="str">
        <x:v>Heavy Civil</x:v>
      </x:c>
      <x:c r="D11" s="156" t="str">
        <x:v>Very High</x:v>
      </x:c>
      <x:c r="E11" s="156" t="str">
        <x:v>Slow</x:v>
      </x:c>
      <x:c r="F11" s="158" t="n">
        <x:v>0.8809701386231231</x:v>
      </x:c>
      <x:c r="G11" s="158" t="n">
        <x:v>0.9197875047844151</x:v>
      </x:c>
      <x:c r="H11" s="158" t="n">
        <x:v>0.9904523178137955</x:v>
      </x:c>
      <x:c r="I11" s="156" t="str">
        <x:v>Red</x:v>
      </x:c>
      <x:c r="J11" s="156" t="n">
        <x:v>1</x:v>
      </x:c>
      <x:c r="K11" s="156" t="n">
        <x:v>0</x:v>
      </x:c>
    </x:row>
    <x:row r="12">
      <x:c r="A12" s="156" t="str">
        <x:v>PRJ3-01981</x:v>
      </x:c>
      <x:c r="B12" s="156" t="str">
        <x:v>Pioneer Urban Village 1981</x:v>
      </x:c>
      <x:c r="C12" s="156" t="str">
        <x:v>Mixed-Use</x:v>
      </x:c>
      <x:c r="D12" s="156" t="str">
        <x:v>Very High</x:v>
      </x:c>
      <x:c r="E12" s="156" t="str">
        <x:v>Slow</x:v>
      </x:c>
      <x:c r="F12" s="158" t="n">
        <x:v>0.9408283367285022</x:v>
      </x:c>
      <x:c r="G12" s="158" t="n">
        <x:v>0.8040447635070153</x:v>
      </x:c>
      <x:c r="H12" s="158" t="n">
        <x:v>0.9884050027299504</x:v>
      </x:c>
      <x:c r="I12" s="156" t="str">
        <x:v>Red</x:v>
      </x:c>
      <x:c r="J12" s="156" t="n">
        <x:v>1</x:v>
      </x:c>
      <x:c r="K12" s="156" t="n">
        <x:v>1</x:v>
      </x:c>
    </x:row>
    <x:row r="13">
      <x:c r="A13" s="156" t="str">
        <x:v>PRJ3-01492</x:v>
      </x:c>
      <x:c r="B13" s="156" t="str">
        <x:v>Horizon Education Center 1492</x:v>
      </x:c>
      <x:c r="C13" s="156" t="str">
        <x:v>Institutional</x:v>
      </x:c>
      <x:c r="D13" s="156" t="str">
        <x:v>High</x:v>
      </x:c>
      <x:c r="E13" s="156" t="str">
        <x:v>Slow</x:v>
      </x:c>
      <x:c r="F13" s="158" t="n">
        <x:v>0.9211636985505067</x:v>
      </x:c>
      <x:c r="G13" s="158" t="n">
        <x:v>0.824227015508608</x:v>
      </x:c>
      <x:c r="H13" s="158" t="n">
        <x:v>0.9861427080079596</x:v>
      </x:c>
      <x:c r="I13" s="156" t="str">
        <x:v>Red</x:v>
      </x:c>
      <x:c r="J13" s="156" t="n">
        <x:v>1</x:v>
      </x:c>
      <x:c r="K13" s="156" t="n">
        <x:v>1</x:v>
      </x:c>
    </x:row>
    <x:row r="14">
      <x:c r="A14" s="156" t="str">
        <x:v>PRJ3-01752</x:v>
      </x:c>
      <x:c r="B14" s="156" t="str">
        <x:v>Lakeview Highway Improvements 1752</x:v>
      </x:c>
      <x:c r="C14" s="156" t="str">
        <x:v>Heavy Civil</x:v>
      </x:c>
      <x:c r="D14" s="156" t="str">
        <x:v>Moderate</x:v>
      </x:c>
      <x:c r="E14" s="156" t="str">
        <x:v>Slow</x:v>
      </x:c>
      <x:c r="F14" s="158" t="n">
        <x:v>0.8706742209909266</x:v>
      </x:c>
      <x:c r="G14" s="158" t="n">
        <x:v>0.8834930316154844</x:v>
      </x:c>
      <x:c r="H14" s="158" t="n">
        <x:v>0.9849326455536871</x:v>
      </x:c>
      <x:c r="I14" s="156" t="str">
        <x:v>Red</x:v>
      </x:c>
      <x:c r="J14" s="156" t="n">
        <x:v>1</x:v>
      </x:c>
      <x:c r="K14" s="156" t="n">
        <x:v>0</x:v>
      </x:c>
    </x:row>
    <x:row r="15">
      <x:c r="A15" s="156" t="str">
        <x:v>PRJ3-02338</x:v>
      </x:c>
      <x:c r="B15" s="156" t="str">
        <x:v>Riverside Neighborhood 2338</x:v>
      </x:c>
      <x:c r="C15" s="156" t="str">
        <x:v>Residential</x:v>
      </x:c>
      <x:c r="D15" s="156" t="str">
        <x:v>High</x:v>
      </x:c>
      <x:c r="E15" s="156" t="str">
        <x:v>Slow</x:v>
      </x:c>
      <x:c r="F15" s="158" t="n">
        <x:v>0.7454881429490665</x:v>
      </x:c>
      <x:c r="G15" s="158" t="n">
        <x:v>0.9294939999865226</x:v>
      </x:c>
      <x:c r="H15" s="158" t="n">
        <x:v>0.9820553870033367</x:v>
      </x:c>
      <x:c r="I15" s="156" t="str">
        <x:v>Red</x:v>
      </x:c>
      <x:c r="J15" s="156" t="n">
        <x:v>1</x:v>
      </x:c>
      <x:c r="K15" s="156" t="n">
        <x:v>1</x:v>
      </x:c>
    </x:row>
    <x:row r="16">
      <x:c r="A16" s="156" t="str">
        <x:v>PRJ3-00088</x:v>
      </x:c>
      <x:c r="B16" s="156" t="str">
        <x:v>Harbor District 88</x:v>
      </x:c>
      <x:c r="C16" s="156" t="str">
        <x:v>Mixed-Use</x:v>
      </x:c>
      <x:c r="D16" s="156" t="str">
        <x:v>Very High</x:v>
      </x:c>
      <x:c r="E16" s="156" t="str">
        <x:v>Fast</x:v>
      </x:c>
      <x:c r="F16" s="158" t="n">
        <x:v>0.9067690409061179</x:v>
      </x:c>
      <x:c r="G16" s="158" t="n">
        <x:v>0.8024461175594633</x:v>
      </x:c>
      <x:c r="H16" s="158" t="n">
        <x:v>0.9815818620673488</x:v>
      </x:c>
      <x:c r="I16" s="156" t="str">
        <x:v>Red</x:v>
      </x:c>
      <x:c r="J16" s="156" t="n">
        <x:v>1</x:v>
      </x:c>
      <x:c r="K16" s="156" t="n">
        <x:v>0</x:v>
      </x:c>
    </x:row>
    <x:row r="17">
      <x:c r="A17" s="156" t="str">
        <x:v>PRJ3-01155</x:v>
      </x:c>
      <x:c r="B17" s="156" t="str">
        <x:v>Copper Education Center 1155</x:v>
      </x:c>
      <x:c r="C17" s="156" t="str">
        <x:v>Institutional</x:v>
      </x:c>
      <x:c r="D17" s="156" t="str">
        <x:v>High</x:v>
      </x:c>
      <x:c r="E17" s="156" t="str">
        <x:v>Slow</x:v>
      </x:c>
      <x:c r="F17" s="158" t="n">
        <x:v>0.6995501097522088</x:v>
      </x:c>
      <x:c r="G17" s="158" t="n">
        <x:v>0.9342149703743526</x:v>
      </x:c>
      <x:c r="H17" s="158" t="n">
        <x:v>0.9802348950690265</x:v>
      </x:c>
      <x:c r="I17" s="156" t="str">
        <x:v>Red</x:v>
      </x:c>
      <x:c r="J17" s="156" t="n">
        <x:v>1</x:v>
      </x:c>
      <x:c r="K17" s="156" t="n">
        <x:v>1</x:v>
      </x:c>
    </x:row>
    <x:row r="18">
      <x:c r="A18" s="156" t="str">
        <x:v>PRJ3-01906</x:v>
      </x:c>
      <x:c r="B18" s="156" t="str">
        <x:v>Liberty Education Center 1906</x:v>
      </x:c>
      <x:c r="C18" s="156" t="str">
        <x:v>Institutional</x:v>
      </x:c>
      <x:c r="D18" s="156" t="str">
        <x:v>Very High</x:v>
      </x:c>
      <x:c r="E18" s="156" t="str">
        <x:v>Fast</x:v>
      </x:c>
      <x:c r="F18" s="158" t="n">
        <x:v>0.5100779097786279</x:v>
      </x:c>
      <x:c r="G18" s="158" t="n">
        <x:v>0.9497750771802724</x:v>
      </x:c>
      <x:c r="H18" s="158" t="n">
        <x:v>0.975393700830952</x:v>
      </x:c>
      <x:c r="I18" s="156" t="str">
        <x:v>Red</x:v>
      </x:c>
      <x:c r="J18" s="156" t="n">
        <x:v>1</x:v>
      </x:c>
      <x:c r="K18" s="156" t="n">
        <x:v>1</x:v>
      </x:c>
    </x:row>
    <x:row r="19">
      <x:c r="A19" s="156" t="str">
        <x:v>PRJ3-00192</x:v>
      </x:c>
      <x:c r="B19" s="156" t="str">
        <x:v>Cedar Research Facility 192</x:v>
      </x:c>
      <x:c r="C19" s="156" t="str">
        <x:v>Institutional</x:v>
      </x:c>
      <x:c r="D19" s="156" t="str">
        <x:v>High</x:v>
      </x:c>
      <x:c r="E19" s="156" t="str">
        <x:v>Slow</x:v>
      </x:c>
      <x:c r="F19" s="158" t="n">
        <x:v>0.8460612027945218</x:v>
      </x:c>
      <x:c r="G19" s="158" t="n">
        <x:v>0.8281913133109264</x:v>
      </x:c>
      <x:c r="H19" s="158" t="n">
        <x:v>0.9735519774216311</x:v>
      </x:c>
      <x:c r="I19" s="156" t="str">
        <x:v>Red</x:v>
      </x:c>
      <x:c r="J19" s="156" t="n">
        <x:v>1</x:v>
      </x:c>
      <x:c r="K19" s="156" t="n">
        <x:v>0</x:v>
      </x:c>
    </x:row>
    <x:row r="20">
      <x:c r="A20" s="156" t="str">
        <x:v>PRJ3-02161</x:v>
      </x:c>
      <x:c r="B20" s="156" t="str">
        <x:v>Gateway Utility Corridor 2161</x:v>
      </x:c>
      <x:c r="C20" s="156" t="str">
        <x:v>Infrastructure</x:v>
      </x:c>
      <x:c r="D20" s="156" t="str">
        <x:v>Very High</x:v>
      </x:c>
      <x:c r="E20" s="156" t="str">
        <x:v>Slow</x:v>
      </x:c>
      <x:c r="F20" s="158" t="n">
        <x:v>0.8410752681621066</x:v>
      </x:c>
      <x:c r="G20" s="158" t="n">
        <x:v>0.8207590009973642</x:v>
      </x:c>
      <x:c r="H20" s="158" t="n">
        <x:v>0.97151417229915</x:v>
      </x:c>
      <x:c r="I20" s="156" t="str">
        <x:v>Red</x:v>
      </x:c>
      <x:c r="J20" s="156" t="n">
        <x:v>1</x:v>
      </x:c>
      <x:c r="K20" s="156" t="n">
        <x:v>1</x:v>
      </x:c>
    </x:row>
    <x:row r="21">
      <x:c r="A21" s="156" t="str">
        <x:v>PRJ3-00084</x:v>
      </x:c>
      <x:c r="B21" s="156" t="str">
        <x:v>Gateway Earthworks Package 84</x:v>
      </x:c>
      <x:c r="C21" s="156" t="str">
        <x:v>Heavy Civil</x:v>
      </x:c>
      <x:c r="D21" s="156" t="str">
        <x:v>High</x:v>
      </x:c>
      <x:c r="E21" s="156" t="str">
        <x:v>Standard</x:v>
      </x:c>
      <x:c r="F21" s="158" t="n">
        <x:v>0.5809410964515245</x:v>
      </x:c>
      <x:c r="G21" s="158" t="n">
        <x:v>0.9295725547936741</x:v>
      </x:c>
      <x:c r="H21" s="158" t="n">
        <x:v>0.9704867520321168</x:v>
      </x:c>
      <x:c r="I21" s="156" t="str">
        <x:v>Red</x:v>
      </x:c>
      <x:c r="J21" s="156" t="n">
        <x:v>1</x:v>
      </x:c>
      <x:c r="K21" s="156" t="n">
        <x:v>1</x:v>
      </x:c>
    </x:row>
    <x:row r="22">
      <x:c r="A22" s="156" t="str">
        <x:v>PRJ3-01281</x:v>
      </x:c>
      <x:c r="B22" s="156" t="str">
        <x:v>Evergreen District 1281</x:v>
      </x:c>
      <x:c r="C22" s="156" t="str">
        <x:v>Mixed-Use</x:v>
      </x:c>
      <x:c r="D22" s="156" t="str">
        <x:v>High</x:v>
      </x:c>
      <x:c r="E22" s="156" t="str">
        <x:v>Standard</x:v>
      </x:c>
      <x:c r="F22" s="158" t="n">
        <x:v>0.8704124174249152</x:v>
      </x:c>
      <x:c r="G22" s="158" t="n">
        <x:v>0.7486097435814238</x:v>
      </x:c>
      <x:c r="H22" s="158" t="n">
        <x:v>0.967422944387786</x:v>
      </x:c>
      <x:c r="I22" s="156" t="str">
        <x:v>Red</x:v>
      </x:c>
      <x:c r="J22" s="156" t="n">
        <x:v>1</x:v>
      </x:c>
      <x:c r="K22" s="156" t="n">
        <x:v>0</x:v>
      </x:c>
    </x:row>
    <x:row r="23">
      <x:c r="A23" s="156" t="str">
        <x:v>PRJ3-01248</x:v>
      </x:c>
      <x:c r="B23" s="156" t="str">
        <x:v>Evergreen Residences 1248</x:v>
      </x:c>
      <x:c r="C23" s="156" t="str">
        <x:v>Residential</x:v>
      </x:c>
      <x:c r="D23" s="156" t="str">
        <x:v>High</x:v>
      </x:c>
      <x:c r="E23" s="156" t="str">
        <x:v>Slow</x:v>
      </x:c>
      <x:c r="F23" s="158" t="n">
        <x:v>0.8176519230112734</x:v>
      </x:c>
      <x:c r="G23" s="158" t="n">
        <x:v>0.8124278956584001</x:v>
      </x:c>
      <x:c r="H23" s="158" t="n">
        <x:v>0.9657965874765805</x:v>
      </x:c>
      <x:c r="I23" s="156" t="str">
        <x:v>Red</x:v>
      </x:c>
      <x:c r="J23" s="156" t="n">
        <x:v>1</x:v>
      </x:c>
      <x:c r="K23" s="156" t="n">
        <x:v>0</x:v>
      </x:c>
    </x:row>
    <x:row r="24">
      <x:c r="A24" s="156" t="str">
        <x:v>PRJ3-00260</x:v>
      </x:c>
      <x:c r="B24" s="156" t="str">
        <x:v>Riverside Bridge Program 260</x:v>
      </x:c>
      <x:c r="C24" s="156" t="str">
        <x:v>Heavy Civil</x:v>
      </x:c>
      <x:c r="D24" s="156" t="str">
        <x:v>High</x:v>
      </x:c>
      <x:c r="E24" s="156" t="str">
        <x:v>Slow</x:v>
      </x:c>
      <x:c r="F24" s="158" t="n">
        <x:v>0.8081018570237497</x:v>
      </x:c>
      <x:c r="G24" s="158" t="n">
        <x:v>0.8140603771057844</x:v>
      </x:c>
      <x:c r="H24" s="158" t="n">
        <x:v>0.9643185316608958</x:v>
      </x:c>
      <x:c r="I24" s="156" t="str">
        <x:v>Red</x:v>
      </x:c>
      <x:c r="J24" s="156" t="n">
        <x:v>1</x:v>
      </x:c>
      <x:c r="K24" s="156" t="n">
        <x:v>1</x:v>
      </x:c>
    </x:row>
    <x:row r="25">
      <x:c r="A25" s="156" t="str">
        <x:v>PRJ3-00404</x:v>
      </x:c>
      <x:c r="B25" s="156" t="str">
        <x:v>Cedar Logistics Center 404</x:v>
      </x:c>
      <x:c r="C25" s="156" t="str">
        <x:v>Industrial</x:v>
      </x:c>
      <x:c r="D25" s="156" t="str">
        <x:v>High</x:v>
      </x:c>
      <x:c r="E25" s="156" t="str">
        <x:v>Slow</x:v>
      </x:c>
      <x:c r="F25" s="158" t="n">
        <x:v>0.8833368170276948</x:v>
      </x:c>
      <x:c r="G25" s="158" t="n">
        <x:v>0.6941388640514481</x:v>
      </x:c>
      <x:c r="H25" s="158" t="n">
        <x:v>0.964317266332717</x:v>
      </x:c>
      <x:c r="I25" s="156" t="str">
        <x:v>Red</x:v>
      </x:c>
      <x:c r="J25" s="156" t="n">
        <x:v>1</x:v>
      </x:c>
      <x:c r="K25" s="156" t="n">
        <x:v>0</x:v>
      </x:c>
    </x:row>
    <x:row r="26">
      <x:c r="A26" s="156" t="str">
        <x:v>PRJ3-02204</x:v>
      </x:c>
      <x:c r="B26" s="156" t="str">
        <x:v>Mesa Civic Complex 2204</x:v>
      </x:c>
      <x:c r="C26" s="156" t="str">
        <x:v>Institutional</x:v>
      </x:c>
      <x:c r="D26" s="156" t="str">
        <x:v>Very High</x:v>
      </x:c>
      <x:c r="E26" s="156" t="str">
        <x:v>Slow</x:v>
      </x:c>
      <x:c r="F26" s="158" t="n">
        <x:v>0.8510433600784493</x:v>
      </x:c>
      <x:c r="G26" s="158" t="n">
        <x:v>0.7572113194183212</x:v>
      </x:c>
      <x:c r="H26" s="158" t="n">
        <x:v>0.9638350139295665</x:v>
      </x:c>
      <x:c r="I26" s="156" t="str">
        <x:v>Red</x:v>
      </x:c>
      <x:c r="J26" s="156" t="n">
        <x:v>1</x:v>
      </x:c>
      <x:c r="K26" s="156" t="n">
        <x:v>0</x:v>
      </x:c>
    </x:row>
    <x:row r="27">
      <x:c r="A27" s="156" t="str">
        <x:v>PRJ3-00641</x:v>
      </x:c>
      <x:c r="B27" s="156" t="str">
        <x:v>Canyon Retail Center 641</x:v>
      </x:c>
      <x:c r="C27" s="156" t="str">
        <x:v>Commercial</x:v>
      </x:c>
      <x:c r="D27" s="156" t="str">
        <x:v>High</x:v>
      </x:c>
      <x:c r="E27" s="156" t="str">
        <x:v>Slow</x:v>
      </x:c>
      <x:c r="F27" s="158" t="n">
        <x:v>0.9083213182467744</x:v>
      </x:c>
      <x:c r="G27" s="158" t="n">
        <x:v>0.5992069165583309</x:v>
      </x:c>
      <x:c r="H27" s="158" t="n">
        <x:v>0.9632558184542572</x:v>
      </x:c>
      <x:c r="I27" s="156" t="str">
        <x:v>Red</x:v>
      </x:c>
      <x:c r="J27" s="156" t="n">
        <x:v>1</x:v>
      </x:c>
      <x:c r="K27" s="156" t="n">
        <x:v>0</x:v>
      </x:c>
    </x:row>
    <x:row r="28">
      <x:c r="A28" s="156" t="str">
        <x:v>PRJ3-01519</x:v>
      </x:c>
      <x:c r="B28" s="156" t="str">
        <x:v>Granite Utility Corridor 1519</x:v>
      </x:c>
      <x:c r="C28" s="156" t="str">
        <x:v>Infrastructure</x:v>
      </x:c>
      <x:c r="D28" s="156" t="str">
        <x:v>Very High</x:v>
      </x:c>
      <x:c r="E28" s="156" t="str">
        <x:v>Standard</x:v>
      </x:c>
      <x:c r="F28" s="158" t="n">
        <x:v>0.4710192440936519</x:v>
      </x:c>
      <x:c r="G28" s="158" t="n">
        <x:v>0.928972846407721</x:v>
      </x:c>
      <x:c r="H28" s="158" t="n">
        <x:v>0.96242800260288</x:v>
      </x:c>
      <x:c r="I28" s="156" t="str">
        <x:v>Red</x:v>
      </x:c>
      <x:c r="J28" s="156" t="n">
        <x:v>0</x:v>
      </x:c>
      <x:c r="K28" s="156" t="n">
        <x:v>1</x:v>
      </x:c>
    </x:row>
    <x:row r="29">
      <x:c r="A29" s="156" t="str">
        <x:v>PRJ3-01875</x:v>
      </x:c>
      <x:c r="B29" s="156" t="str">
        <x:v>Canyon Housing 1875</x:v>
      </x:c>
      <x:c r="C29" s="156" t="str">
        <x:v>Residential</x:v>
      </x:c>
      <x:c r="D29" s="156" t="str">
        <x:v>Moderate</x:v>
      </x:c>
      <x:c r="E29" s="156" t="str">
        <x:v>Slow</x:v>
      </x:c>
      <x:c r="F29" s="158" t="n">
        <x:v>0.6826212663158453</x:v>
      </x:c>
      <x:c r="G29" s="158" t="n">
        <x:v>0.8757731622805178</x:v>
      </x:c>
      <x:c r="H29" s="158" t="n">
        <x:v>0.9605730435550037</x:v>
      </x:c>
      <x:c r="I29" s="156" t="str">
        <x:v>Red</x:v>
      </x:c>
      <x:c r="J29" s="156" t="n">
        <x:v>1</x:v>
      </x:c>
      <x:c r="K29" s="156" t="n">
        <x:v>0</x:v>
      </x:c>
    </x:row>
    <x:row r="30">
      <x:c r="A30" s="156" t="str">
        <x:v>PRJ3-01379</x:v>
      </x:c>
      <x:c r="B30" s="156" t="str">
        <x:v>Summit Apartments 1379</x:v>
      </x:c>
      <x:c r="C30" s="156" t="str">
        <x:v>Residential</x:v>
      </x:c>
      <x:c r="D30" s="156" t="str">
        <x:v>Very High</x:v>
      </x:c>
      <x:c r="E30" s="156" t="str">
        <x:v>Standard</x:v>
      </x:c>
      <x:c r="F30" s="158" t="n">
        <x:v>0.7101171011123641</x:v>
      </x:c>
      <x:c r="G30" s="158" t="n">
        <x:v>0.8602208396468023</x:v>
      </x:c>
      <x:c r="H30" s="158" t="n">
        <x:v>0.9594804117927354</x:v>
      </x:c>
      <x:c r="I30" s="156" t="str">
        <x:v>Red</x:v>
      </x:c>
      <x:c r="J30" s="156" t="n">
        <x:v>1</x:v>
      </x:c>
      <x:c r="K30" s="156" t="n">
        <x:v>0</x:v>
      </x:c>
    </x:row>
    <x:row r="31">
      <x:c r="A31" s="156" t="str">
        <x:v>PRJ3-02104</x:v>
      </x:c>
      <x:c r="B31" s="156" t="str">
        <x:v>Summit Transit Program 2104</x:v>
      </x:c>
      <x:c r="C31" s="156" t="str">
        <x:v>Infrastructure</x:v>
      </x:c>
      <x:c r="D31" s="156" t="str">
        <x:v>Moderate</x:v>
      </x:c>
      <x:c r="E31" s="156" t="str">
        <x:v>Standard</x:v>
      </x:c>
      <x:c r="F31" s="158" t="n">
        <x:v>0.7257952926277584</x:v>
      </x:c>
      <x:c r="G31" s="158" t="n">
        <x:v>0.8521933486656864</x:v>
      </x:c>
      <x:c r="H31" s="158" t="n">
        <x:v>0.9594707204232036</x:v>
      </x:c>
      <x:c r="I31" s="156" t="str">
        <x:v>Red</x:v>
      </x:c>
      <x:c r="J31" s="156" t="n">
        <x:v>1</x:v>
      </x:c>
      <x:c r="K31" s="156" t="n">
        <x:v>1</x:v>
      </x:c>
    </x:row>
    <x:row r="32">
      <x:c r="A32" s="156" t="str">
        <x:v>PRJ3-02151</x:v>
      </x:c>
      <x:c r="B32" s="156" t="str">
        <x:v>Crescent Town Center 2151</x:v>
      </x:c>
      <x:c r="C32" s="156" t="str">
        <x:v>Mixed-Use</x:v>
      </x:c>
      <x:c r="D32" s="156" t="str">
        <x:v>High</x:v>
      </x:c>
      <x:c r="E32" s="156" t="str">
        <x:v>Standard</x:v>
      </x:c>
      <x:c r="F32" s="158" t="n">
        <x:v>0.6896826998400225</x:v>
      </x:c>
      <x:c r="G32" s="158" t="n">
        <x:v>0.8620544894341754</x:v>
      </x:c>
      <x:c r="H32" s="158" t="n">
        <x:v>0.9571931215920236</x:v>
      </x:c>
      <x:c r="I32" s="156" t="str">
        <x:v>Red</x:v>
      </x:c>
      <x:c r="J32" s="156" t="n">
        <x:v>1</x:v>
      </x:c>
      <x:c r="K32" s="156" t="n">
        <x:v>0</x:v>
      </x:c>
    </x:row>
    <x:row r="33">
      <x:c r="A33" s="156" t="str">
        <x:v>PRJ3-01769</x:v>
      </x:c>
      <x:c r="B33" s="156" t="str">
        <x:v>Summit Town Center 1769</x:v>
      </x:c>
      <x:c r="C33" s="156" t="str">
        <x:v>Mixed-Use</x:v>
      </x:c>
      <x:c r="D33" s="156" t="str">
        <x:v>Very High</x:v>
      </x:c>
      <x:c r="E33" s="156" t="str">
        <x:v>Standard</x:v>
      </x:c>
      <x:c r="F33" s="158" t="n">
        <x:v>0.7359327170359812</x:v>
      </x:c>
      <x:c r="G33" s="158" t="n">
        <x:v>0.8355878250429265</x:v>
      </x:c>
      <x:c r="H33" s="158" t="n">
        <x:v>0.9565841236728807</x:v>
      </x:c>
      <x:c r="I33" s="156" t="str">
        <x:v>Red</x:v>
      </x:c>
      <x:c r="J33" s="156" t="n">
        <x:v>1</x:v>
      </x:c>
      <x:c r="K33" s="156" t="n">
        <x:v>0</x:v>
      </x:c>
    </x:row>
    <x:row r="34">
      <x:c r="A34" s="156" t="str">
        <x:v>PRJ3-01363</x:v>
      </x:c>
      <x:c r="B34" s="156" t="str">
        <x:v>Redwood Utility Corridor 1363</x:v>
      </x:c>
      <x:c r="C34" s="156" t="str">
        <x:v>Infrastructure</x:v>
      </x:c>
      <x:c r="D34" s="156" t="str">
        <x:v>Moderate</x:v>
      </x:c>
      <x:c r="E34" s="156" t="str">
        <x:v>Slow</x:v>
      </x:c>
      <x:c r="F34" s="158" t="n">
        <x:v>0.7143264230743493</x:v>
      </x:c>
      <x:c r="G34" s="158" t="n">
        <x:v>0.8471967690773187</x:v>
      </x:c>
      <x:c r="H34" s="158" t="n">
        <x:v>0.9563481544565214</x:v>
      </x:c>
      <x:c r="I34" s="156" t="str">
        <x:v>Red</x:v>
      </x:c>
      <x:c r="J34" s="156" t="n">
        <x:v>1</x:v>
      </x:c>
      <x:c r="K34" s="156" t="n">
        <x:v>1</x:v>
      </x:c>
    </x:row>
    <x:row r="35">
      <x:c r="A35" s="156" t="str">
        <x:v>PRJ3-00929</x:v>
      </x:c>
      <x:c r="B35" s="156" t="str">
        <x:v>Liberty District 929</x:v>
      </x:c>
      <x:c r="C35" s="156" t="str">
        <x:v>Mixed-Use</x:v>
      </x:c>
      <x:c r="D35" s="156" t="str">
        <x:v>High</x:v>
      </x:c>
      <x:c r="E35" s="156" t="str">
        <x:v>Slow</x:v>
      </x:c>
      <x:c r="F35" s="158" t="n">
        <x:v>0.8605703572699055</x:v>
      </x:c>
      <x:c r="G35" s="158" t="n">
        <x:v>0.6846367998757572</x:v>
      </x:c>
      <x:c r="H35" s="158" t="n">
        <x:v>0.9560290216764575</x:v>
      </x:c>
      <x:c r="I35" s="156" t="str">
        <x:v>Red</x:v>
      </x:c>
      <x:c r="J35" s="156" t="n">
        <x:v>1</x:v>
      </x:c>
      <x:c r="K35" s="156" t="n">
        <x:v>1</x:v>
      </x:c>
    </x:row>
  </x:sheetData>
  <x:mergeCells>
    <x:mergeCell ref="A1:K1"/>
    <x:mergeCell ref="A2:H3"/>
  </x:mergeCells>
  <x:conditionalFormatting sqref="I6:I35">
    <x:cfRule type="expression" dxfId="4" priority="1">
      <x:formula>I6="Red"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40ec2932a54d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18" hidden="0" customWidth="1"/>
    <x:col min="5" max="5" width="12" hidden="0" customWidth="1"/>
  </x:cols>
  <x:sheetData>
    <x:row r="1" ht="32" customHeight="1">
      <x:c r="A1" s="4" t="str">
        <x:v>Calibration by Probability Decile</x:v>
      </x:c>
      <x:c r="B1" s="4"/>
      <x:c r="C1" s="4"/>
      <x:c r="D1" s="4"/>
      <x:c r="E1" s="4"/>
    </x:row>
    <x:row r="2">
      <x:c r="A2" s="11" t="str">
        <x:v>Observed outcome rate should track mean predicted probability.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Target</x:v>
      </x:c>
      <x:c r="B5" s="150" t="str">
        <x:v>Bin</x:v>
      </x:c>
      <x:c r="C5" s="150" t="str">
        <x:v>Mean Predicted</x:v>
      </x:c>
      <x:c r="D5" s="150" t="str">
        <x:v>Observed Rate</x:v>
      </x:c>
      <x:c r="E5" s="150" t="str">
        <x:v>Projects</x:v>
      </x:c>
    </x:row>
    <x:row r="6">
      <x:c r="A6" s="156" t="str">
        <x:v>Cost_Overrun_Flag</x:v>
      </x:c>
      <x:c r="B6" s="156" t="n">
        <x:v>1</x:v>
      </x:c>
      <x:c r="C6" s="158" t="n">
        <x:v>0.06155117397307841</x:v>
      </x:c>
      <x:c r="D6" s="158" t="n">
        <x:v>0</x:v>
      </x:c>
      <x:c r="E6" s="156" t="n">
        <x:v>44</x:v>
      </x:c>
    </x:row>
    <x:row r="7">
      <x:c r="A7" s="156" t="str">
        <x:v>Cost_Overrun_Flag</x:v>
      </x:c>
      <x:c r="B7" s="156" t="n">
        <x:v>2</x:v>
      </x:c>
      <x:c r="C7" s="158" t="n">
        <x:v>0.10214038713989047</x:v>
      </x:c>
      <x:c r="D7" s="158" t="n">
        <x:v>0.022727272727272728</x:v>
      </x:c>
      <x:c r="E7" s="156" t="n">
        <x:v>44</x:v>
      </x:c>
    </x:row>
    <x:row r="8">
      <x:c r="A8" s="156" t="str">
        <x:v>Cost_Overrun_Flag</x:v>
      </x:c>
      <x:c r="B8" s="156" t="n">
        <x:v>3</x:v>
      </x:c>
      <x:c r="C8" s="158" t="n">
        <x:v>0.14960998384004887</x:v>
      </x:c>
      <x:c r="D8" s="158" t="n">
        <x:v>0.023255813953488372</x:v>
      </x:c>
      <x:c r="E8" s="156" t="n">
        <x:v>43</x:v>
      </x:c>
    </x:row>
    <x:row r="9">
      <x:c r="A9" s="156" t="str">
        <x:v>Cost_Overrun_Flag</x:v>
      </x:c>
      <x:c r="B9" s="156" t="n">
        <x:v>4</x:v>
      </x:c>
      <x:c r="C9" s="158" t="n">
        <x:v>0.2183861768550006</x:v>
      </x:c>
      <x:c r="D9" s="158" t="n">
        <x:v>0.045454545454545456</x:v>
      </x:c>
      <x:c r="E9" s="156" t="n">
        <x:v>44</x:v>
      </x:c>
    </x:row>
    <x:row r="10">
      <x:c r="A10" s="156" t="str">
        <x:v>Cost_Overrun_Flag</x:v>
      </x:c>
      <x:c r="B10" s="156" t="n">
        <x:v>5</x:v>
      </x:c>
      <x:c r="C10" s="158" t="n">
        <x:v>0.28006515556011174</x:v>
      </x:c>
      <x:c r="D10" s="158" t="n">
        <x:v>0.13953488372093023</x:v>
      </x:c>
      <x:c r="E10" s="156" t="n">
        <x:v>43</x:v>
      </x:c>
    </x:row>
    <x:row r="11">
      <x:c r="A11" s="156" t="str">
        <x:v>Cost_Overrun_Flag</x:v>
      </x:c>
      <x:c r="B11" s="156" t="n">
        <x:v>6</x:v>
      </x:c>
      <x:c r="C11" s="158" t="n">
        <x:v>0.3408233064206873</x:v>
      </x:c>
      <x:c r="D11" s="158" t="n">
        <x:v>0.022727272727272728</x:v>
      </x:c>
      <x:c r="E11" s="156" t="n">
        <x:v>44</x:v>
      </x:c>
    </x:row>
    <x:row r="12">
      <x:c r="A12" s="156" t="str">
        <x:v>Cost_Overrun_Flag</x:v>
      </x:c>
      <x:c r="B12" s="156" t="n">
        <x:v>7</x:v>
      </x:c>
      <x:c r="C12" s="158" t="n">
        <x:v>0.4225239310812231</x:v>
      </x:c>
      <x:c r="D12" s="158" t="n">
        <x:v>0.3488372093023256</x:v>
      </x:c>
      <x:c r="E12" s="156" t="n">
        <x:v>43</x:v>
      </x:c>
    </x:row>
    <x:row r="13">
      <x:c r="A13" s="156" t="str">
        <x:v>Cost_Overrun_Flag</x:v>
      </x:c>
      <x:c r="B13" s="156" t="n">
        <x:v>8</x:v>
      </x:c>
      <x:c r="C13" s="158" t="n">
        <x:v>0.5198093427181592</x:v>
      </x:c>
      <x:c r="D13" s="158" t="n">
        <x:v>0.45454545454545453</x:v>
      </x:c>
      <x:c r="E13" s="156" t="n">
        <x:v>44</x:v>
      </x:c>
    </x:row>
    <x:row r="14">
      <x:c r="A14" s="156" t="str">
        <x:v>Cost_Overrun_Flag</x:v>
      </x:c>
      <x:c r="B14" s="156" t="n">
        <x:v>9</x:v>
      </x:c>
      <x:c r="C14" s="158" t="n">
        <x:v>0.6583940933297046</x:v>
      </x:c>
      <x:c r="D14" s="158" t="n">
        <x:v>0.627906976744186</x:v>
      </x:c>
      <x:c r="E14" s="156" t="n">
        <x:v>43</x:v>
      </x:c>
    </x:row>
    <x:row r="15">
      <x:c r="A15" s="156" t="str">
        <x:v>Cost_Overrun_Flag</x:v>
      </x:c>
      <x:c r="B15" s="156" t="n">
        <x:v>10</x:v>
      </x:c>
      <x:c r="C15" s="158" t="n">
        <x:v>0.8237457336860392</x:v>
      </x:c>
      <x:c r="D15" s="158" t="n">
        <x:v>0.8636363636363636</x:v>
      </x:c>
      <x:c r="E15" s="156" t="n">
        <x:v>44</x:v>
      </x:c>
    </x:row>
    <x:row r="16">
      <x:c r="A16" s="156" t="str">
        <x:v>Schedule_Delay_Flag</x:v>
      </x:c>
      <x:c r="B16" s="156" t="n">
        <x:v>1</x:v>
      </x:c>
      <x:c r="C16" s="158" t="n">
        <x:v>0.046293074925947614</x:v>
      </x:c>
      <x:c r="D16" s="158" t="n">
        <x:v>0.06818181818181818</x:v>
      </x:c>
      <x:c r="E16" s="156" t="n">
        <x:v>44</x:v>
      </x:c>
    </x:row>
    <x:row r="17">
      <x:c r="A17" s="156" t="str">
        <x:v>Schedule_Delay_Flag</x:v>
      </x:c>
      <x:c r="B17" s="156" t="n">
        <x:v>2</x:v>
      </x:c>
      <x:c r="C17" s="158" t="n">
        <x:v>0.10002850626488073</x:v>
      </x:c>
      <x:c r="D17" s="158" t="n">
        <x:v>0.06818181818181818</x:v>
      </x:c>
      <x:c r="E17" s="156" t="n">
        <x:v>44</x:v>
      </x:c>
    </x:row>
    <x:row r="18">
      <x:c r="A18" s="156" t="str">
        <x:v>Schedule_Delay_Flag</x:v>
      </x:c>
      <x:c r="B18" s="156" t="n">
        <x:v>3</x:v>
      </x:c>
      <x:c r="C18" s="158" t="n">
        <x:v>0.1511895217551161</x:v>
      </x:c>
      <x:c r="D18" s="158" t="n">
        <x:v>0.16279069767441862</x:v>
      </x:c>
      <x:c r="E18" s="156" t="n">
        <x:v>43</x:v>
      </x:c>
    </x:row>
    <x:row r="19">
      <x:c r="A19" s="156" t="str">
        <x:v>Schedule_Delay_Flag</x:v>
      </x:c>
      <x:c r="B19" s="156" t="n">
        <x:v>4</x:v>
      </x:c>
      <x:c r="C19" s="158" t="n">
        <x:v>0.20827250688304574</x:v>
      </x:c>
      <x:c r="D19" s="158" t="n">
        <x:v>0.045454545454545456</x:v>
      </x:c>
      <x:c r="E19" s="156" t="n">
        <x:v>44</x:v>
      </x:c>
    </x:row>
    <x:row r="20">
      <x:c r="A20" s="156" t="str">
        <x:v>Schedule_Delay_Flag</x:v>
      </x:c>
      <x:c r="B20" s="156" t="n">
        <x:v>5</x:v>
      </x:c>
      <x:c r="C20" s="158" t="n">
        <x:v>0.2841517512334961</x:v>
      </x:c>
      <x:c r="D20" s="158" t="n">
        <x:v>0.09302325581395349</x:v>
      </x:c>
      <x:c r="E20" s="156" t="n">
        <x:v>43</x:v>
      </x:c>
    </x:row>
    <x:row r="21">
      <x:c r="A21" s="156" t="str">
        <x:v>Schedule_Delay_Flag</x:v>
      </x:c>
      <x:c r="B21" s="156" t="n">
        <x:v>6</x:v>
      </x:c>
      <x:c r="C21" s="158" t="n">
        <x:v>0.3836141074615726</x:v>
      </x:c>
      <x:c r="D21" s="158" t="n">
        <x:v>0.1590909090909091</x:v>
      </x:c>
      <x:c r="E21" s="156" t="n">
        <x:v>44</x:v>
      </x:c>
    </x:row>
    <x:row r="22">
      <x:c r="A22" s="156" t="str">
        <x:v>Schedule_Delay_Flag</x:v>
      </x:c>
      <x:c r="B22" s="156" t="n">
        <x:v>7</x:v>
      </x:c>
      <x:c r="C22" s="158" t="n">
        <x:v>0.4956962828441748</x:v>
      </x:c>
      <x:c r="D22" s="158" t="n">
        <x:v>0.11627906976744186</x:v>
      </x:c>
      <x:c r="E22" s="156" t="n">
        <x:v>43</x:v>
      </x:c>
    </x:row>
    <x:row r="23">
      <x:c r="A23" s="156" t="str">
        <x:v>Schedule_Delay_Flag</x:v>
      </x:c>
      <x:c r="B23" s="156" t="n">
        <x:v>8</x:v>
      </x:c>
      <x:c r="C23" s="158" t="n">
        <x:v>0.6098451585429485</x:v>
      </x:c>
      <x:c r="D23" s="158" t="n">
        <x:v>0.2727272727272727</x:v>
      </x:c>
      <x:c r="E23" s="156" t="n">
        <x:v>44</x:v>
      </x:c>
    </x:row>
    <x:row r="24">
      <x:c r="A24" s="156" t="str">
        <x:v>Schedule_Delay_Flag</x:v>
      </x:c>
      <x:c r="B24" s="156" t="n">
        <x:v>9</x:v>
      </x:c>
      <x:c r="C24" s="158" t="n">
        <x:v>0.7234505870912279</x:v>
      </x:c>
      <x:c r="D24" s="158" t="n">
        <x:v>0.3953488372093023</x:v>
      </x:c>
      <x:c r="E24" s="156" t="n">
        <x:v>43</x:v>
      </x:c>
    </x:row>
    <x:row r="25">
      <x:c r="A25" s="156" t="str">
        <x:v>Schedule_Delay_Flag</x:v>
      </x:c>
      <x:c r="B25" s="156" t="n">
        <x:v>10</x:v>
      </x:c>
      <x:c r="C25" s="158" t="n">
        <x:v>0.863492656125155</x:v>
      </x:c>
      <x:c r="D25" s="158" t="n">
        <x:v>0.5909090909090909</x:v>
      </x:c>
      <x:c r="E25" s="156" t="n">
        <x:v>44</x:v>
      </x:c>
    </x:row>
  </x:sheetData>
  <x:mergeCells>
    <x:mergeCell ref="A1:E1"/>
    <x:mergeCell ref="A2:H3"/>
  </x:mergeCells>
  <x:pageMargins left="0.7" right="0.7" top="0.75" bottom="0.75" header="0.3" footer="0.3"/>
  <x:tableParts count="1">
    <x:tablePart xmlns:r="http://schemas.openxmlformats.org/officeDocument/2006/relationships" r:id="R3a5ef3ad4c72483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9" hidden="0" customWidth="1"/>
    <x:col min="3" max="3" width="25" hidden="0" customWidth="1"/>
    <x:col min="4" max="4" width="12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2" customHeight="1">
      <x:c r="A1" s="4" t="str">
        <x:v>Segment Model Performance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Segments with at least 25 test projects are reported.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Target</x:v>
      </x:c>
      <x:c r="B5" s="150" t="str">
        <x:v>Field</x:v>
      </x:c>
      <x:c r="C5" s="150" t="str">
        <x:v>Segment</x:v>
      </x:c>
      <x:c r="D5" s="150" t="str">
        <x:v>Projects</x:v>
      </x:c>
      <x:c r="E5" s="150" t="str">
        <x:v>Actual Rate</x:v>
      </x:c>
      <x:c r="F5" s="150" t="str">
        <x:v>Mean Probability</x:v>
      </x:c>
      <x:c r="G5" s="150" t="str">
        <x:v>ROC AUC</x:v>
      </x:c>
      <x:c r="H5" s="150" t="str">
        <x:v>Precision</x:v>
      </x:c>
      <x:c r="I5" s="150" t="str">
        <x:v>Recall</x:v>
      </x:c>
    </x:row>
    <x:row r="6">
      <x:c r="A6" s="156" t="str">
        <x:v>Cost_Overrun_Flag</x:v>
      </x:c>
      <x:c r="B6" s="156" t="str">
        <x:v>Project_Type</x:v>
      </x:c>
      <x:c r="C6" s="156" t="str">
        <x:v>Commercial</x:v>
      </x:c>
      <x:c r="D6" s="156" t="n">
        <x:v>84</x:v>
      </x:c>
      <x:c r="E6" s="160" t="n">
        <x:v>0.16666666666666666</x:v>
      </x:c>
      <x:c r="F6" s="160" t="n">
        <x:v>0.28710894403279597</x:v>
      </x:c>
      <x:c r="G6" s="160" t="n">
        <x:v>0.8877551020408163</x:v>
      </x:c>
      <x:c r="H6" s="160" t="n">
        <x:v>0.5294117647058824</x:v>
      </x:c>
      <x:c r="I6" s="160" t="n">
        <x:v>0.6428571428571429</x:v>
      </x:c>
    </x:row>
    <x:row r="7">
      <x:c r="A7" s="156" t="str">
        <x:v>Cost_Overrun_Flag</x:v>
      </x:c>
      <x:c r="B7" s="156" t="str">
        <x:v>Project_Type</x:v>
      </x:c>
      <x:c r="C7" s="156" t="str">
        <x:v>Heavy Civil</x:v>
      </x:c>
      <x:c r="D7" s="156" t="n">
        <x:v>61</x:v>
      </x:c>
      <x:c r="E7" s="160" t="n">
        <x:v>0.2459016393442623</x:v>
      </x:c>
      <x:c r="F7" s="160" t="n">
        <x:v>0.39825159062481935</x:v>
      </x:c>
      <x:c r="G7" s="160" t="n">
        <x:v>0.9101449275362319</x:v>
      </x:c>
      <x:c r="H7" s="160" t="n">
        <x:v>0.56</x:v>
      </x:c>
      <x:c r="I7" s="160" t="n">
        <x:v>0.9333333333333333</x:v>
      </x:c>
    </x:row>
    <x:row r="8">
      <x:c r="A8" s="156" t="str">
        <x:v>Cost_Overrun_Flag</x:v>
      </x:c>
      <x:c r="B8" s="156" t="str">
        <x:v>Project_Type</x:v>
      </x:c>
      <x:c r="C8" s="156" t="str">
        <x:v>Industrial</x:v>
      </x:c>
      <x:c r="D8" s="156" t="n">
        <x:v>46</x:v>
      </x:c>
      <x:c r="E8" s="160" t="n">
        <x:v>0.2391304347826087</x:v>
      </x:c>
      <x:c r="F8" s="160" t="n">
        <x:v>0.39340969666783737</x:v>
      </x:c>
      <x:c r="G8" s="160" t="n">
        <x:v>0.9142857142857144</x:v>
      </x:c>
      <x:c r="H8" s="160" t="n">
        <x:v>0.6111111111111112</x:v>
      </x:c>
      <x:c r="I8" s="160" t="n">
        <x:v>1</x:v>
      </x:c>
    </x:row>
    <x:row r="9">
      <x:c r="A9" s="156" t="str">
        <x:v>Cost_Overrun_Flag</x:v>
      </x:c>
      <x:c r="B9" s="156" t="str">
        <x:v>Project_Type</x:v>
      </x:c>
      <x:c r="C9" s="156" t="str">
        <x:v>Infrastructure</x:v>
      </x:c>
      <x:c r="D9" s="156" t="n">
        <x:v>47</x:v>
      </x:c>
      <x:c r="E9" s="160" t="n">
        <x:v>0.19148936170212766</x:v>
      </x:c>
      <x:c r="F9" s="160" t="n">
        <x:v>0.31644439032739125</x:v>
      </x:c>
      <x:c r="G9" s="160" t="n">
        <x:v>0.9239766081871346</x:v>
      </x:c>
      <x:c r="H9" s="160" t="n">
        <x:v>0.5714285714285714</x:v>
      </x:c>
      <x:c r="I9" s="160" t="n">
        <x:v>0.8888888888888888</x:v>
      </x:c>
    </x:row>
    <x:row r="10">
      <x:c r="A10" s="156" t="str">
        <x:v>Cost_Overrun_Flag</x:v>
      </x:c>
      <x:c r="B10" s="156" t="str">
        <x:v>Project_Type</x:v>
      </x:c>
      <x:c r="C10" s="156" t="str">
        <x:v>Institutional</x:v>
      </x:c>
      <x:c r="D10" s="156" t="n">
        <x:v>59</x:v>
      </x:c>
      <x:c r="E10" s="160" t="n">
        <x:v>0.3389830508474576</x:v>
      </x:c>
      <x:c r="F10" s="160" t="n">
        <x:v>0.36905051064441446</x:v>
      </x:c>
      <x:c r="G10" s="160" t="n">
        <x:v>0.9564102564102565</x:v>
      </x:c>
      <x:c r="H10" s="160" t="n">
        <x:v>0.8421052631578947</x:v>
      </x:c>
      <x:c r="I10" s="160" t="n">
        <x:v>0.8</x:v>
      </x:c>
    </x:row>
    <x:row r="11">
      <x:c r="A11" s="156" t="str">
        <x:v>Cost_Overrun_Flag</x:v>
      </x:c>
      <x:c r="B11" s="156" t="str">
        <x:v>Project_Type</x:v>
      </x:c>
      <x:c r="C11" s="156" t="str">
        <x:v>Mixed-Use</x:v>
      </x:c>
      <x:c r="D11" s="156" t="n">
        <x:v>57</x:v>
      </x:c>
      <x:c r="E11" s="160" t="n">
        <x:v>0.3508771929824561</x:v>
      </x:c>
      <x:c r="F11" s="160" t="n">
        <x:v>0.4547725613706429</x:v>
      </x:c>
      <x:c r="G11" s="160" t="n">
        <x:v>0.8959459459459459</x:v>
      </x:c>
      <x:c r="H11" s="160" t="n">
        <x:v>0.6538461538461539</x:v>
      </x:c>
      <x:c r="I11" s="160" t="n">
        <x:v>0.85</x:v>
      </x:c>
    </x:row>
    <x:row r="12">
      <x:c r="A12" s="156" t="str">
        <x:v>Cost_Overrun_Flag</x:v>
      </x:c>
      <x:c r="B12" s="156" t="str">
        <x:v>Project_Type</x:v>
      </x:c>
      <x:c r="C12" s="156" t="str">
        <x:v>Residential</x:v>
      </x:c>
      <x:c r="D12" s="156" t="n">
        <x:v>82</x:v>
      </x:c>
      <x:c r="E12" s="160" t="n">
        <x:v>0.2682926829268293</x:v>
      </x:c>
      <x:c r="F12" s="160" t="n">
        <x:v>0.3268698599224217</x:v>
      </x:c>
      <x:c r="G12" s="160" t="n">
        <x:v>0.8537878787878788</x:v>
      </x:c>
      <x:c r="H12" s="160" t="n">
        <x:v>0.6</x:v>
      </x:c>
      <x:c r="I12" s="160" t="n">
        <x:v>0.6818181818181818</x:v>
      </x:c>
    </x:row>
    <x:row r="13">
      <x:c r="A13" s="156" t="str">
        <x:v>Cost_Overrun_Flag</x:v>
      </x:c>
      <x:c r="B13" s="156" t="str">
        <x:v>Complexity_Level</x:v>
      </x:c>
      <x:c r="C13" s="156" t="str">
        <x:v>High</x:v>
      </x:c>
      <x:c r="D13" s="156" t="n">
        <x:v>147</x:v>
      </x:c>
      <x:c r="E13" s="160" t="n">
        <x:v>0.3197278911564626</x:v>
      </x:c>
      <x:c r="F13" s="160" t="n">
        <x:v>0.4418922526641069</x:v>
      </x:c>
      <x:c r="G13" s="160" t="n">
        <x:v>0.8304255319148937</x:v>
      </x:c>
      <x:c r="H13" s="160" t="n">
        <x:v>0.5588235294117647</x:v>
      </x:c>
      <x:c r="I13" s="160" t="n">
        <x:v>0.8085106382978723</x:v>
      </x:c>
    </x:row>
    <x:row r="14">
      <x:c r="A14" s="156" t="str">
        <x:v>Cost_Overrun_Flag</x:v>
      </x:c>
      <x:c r="B14" s="156" t="str">
        <x:v>Complexity_Level</x:v>
      </x:c>
      <x:c r="C14" s="156" t="str">
        <x:v>Low</x:v>
      </x:c>
      <x:c r="D14" s="156" t="n">
        <x:v>56</x:v>
      </x:c>
      <x:c r="E14" s="160" t="n">
        <x:v>0.07142857142857142</x:v>
      </x:c>
      <x:c r="F14" s="160" t="n">
        <x:v>0.16866931797380902</x:v>
      </x:c>
      <x:c r="G14" s="160" t="n">
        <x:v>0.9807692307692307</x:v>
      </x:c>
      <x:c r="H14" s="160" t="n">
        <x:v>0.6666666666666666</x:v>
      </x:c>
      <x:c r="I14" s="160" t="n">
        <x:v>0.5</x:v>
      </x:c>
    </x:row>
    <x:row r="15">
      <x:c r="A15" s="156" t="str">
        <x:v>Cost_Overrun_Flag</x:v>
      </x:c>
      <x:c r="B15" s="156" t="str">
        <x:v>Complexity_Level</x:v>
      </x:c>
      <x:c r="C15" s="156" t="str">
        <x:v>Moderate</x:v>
      </x:c>
      <x:c r="D15" s="156" t="n">
        <x:v>175</x:v>
      </x:c>
      <x:c r="E15" s="160" t="n">
        <x:v>0.17142857142857143</x:v>
      </x:c>
      <x:c r="F15" s="160" t="n">
        <x:v>0.2732225919949222</x:v>
      </x:c>
      <x:c r="G15" s="160" t="n">
        <x:v>0.9372413793103449</x:v>
      </x:c>
      <x:c r="H15" s="160" t="n">
        <x:v>0.6388888888888888</x:v>
      </x:c>
      <x:c r="I15" s="160" t="n">
        <x:v>0.7666666666666667</x:v>
      </x:c>
    </x:row>
    <x:row r="16">
      <x:c r="A16" s="156" t="str">
        <x:v>Cost_Overrun_Flag</x:v>
      </x:c>
      <x:c r="B16" s="156" t="str">
        <x:v>Complexity_Level</x:v>
      </x:c>
      <x:c r="C16" s="156" t="str">
        <x:v>Very High</x:v>
      </x:c>
      <x:c r="D16" s="156" t="n">
        <x:v>58</x:v>
      </x:c>
      <x:c r="E16" s="160" t="n">
        <x:v>0.5172413793103449</x:v>
      </x:c>
      <x:c r="F16" s="160" t="n">
        <x:v>0.5803789450257589</x:v>
      </x:c>
      <x:c r="G16" s="160" t="n">
        <x:v>0.8535714285714286</x:v>
      </x:c>
      <x:c r="H16" s="160" t="n">
        <x:v>0.7297297297297297</x:v>
      </x:c>
      <x:c r="I16" s="160" t="n">
        <x:v>0.9</x:v>
      </x:c>
    </x:row>
    <x:row r="17">
      <x:c r="A17" s="156" t="str">
        <x:v>Cost_Overrun_Flag</x:v>
      </x:c>
      <x:c r="B17" s="156" t="str">
        <x:v>Digital_Coordination_Level</x:v>
      </x:c>
      <x:c r="C17" s="156" t="str">
        <x:v>High</x:v>
      </x:c>
      <x:c r="D17" s="156" t="n">
        <x:v>120</x:v>
      </x:c>
      <x:c r="E17" s="160" t="n">
        <x:v>0.10833333333333334</x:v>
      </x:c>
      <x:c r="F17" s="160" t="n">
        <x:v>0.27682036636085083</x:v>
      </x:c>
      <x:c r="G17" s="160" t="n">
        <x:v>0.9352983465132998</x:v>
      </x:c>
      <x:c r="H17" s="160" t="n">
        <x:v>0.43478260869565216</x:v>
      </x:c>
      <x:c r="I17" s="160" t="n">
        <x:v>0.7692307692307693</x:v>
      </x:c>
    </x:row>
    <x:row r="18">
      <x:c r="A18" s="156" t="str">
        <x:v>Cost_Overrun_Flag</x:v>
      </x:c>
      <x:c r="B18" s="156" t="str">
        <x:v>Digital_Coordination_Level</x:v>
      </x:c>
      <x:c r="C18" s="156" t="str">
        <x:v>Low</x:v>
      </x:c>
      <x:c r="D18" s="156" t="n">
        <x:v>102</x:v>
      </x:c>
      <x:c r="E18" s="160" t="n">
        <x:v>0.4215686274509804</x:v>
      </x:c>
      <x:c r="F18" s="160" t="n">
        <x:v>0.4750948661274113</x:v>
      </x:c>
      <x:c r="G18" s="160" t="n">
        <x:v>0.906188411509657</x:v>
      </x:c>
      <x:c r="H18" s="160" t="n">
        <x:v>0.6909090909090909</x:v>
      </x:c>
      <x:c r="I18" s="160" t="n">
        <x:v>0.8837209302325582</x:v>
      </x:c>
    </x:row>
    <x:row r="19">
      <x:c r="A19" s="156" t="str">
        <x:v>Cost_Overrun_Flag</x:v>
      </x:c>
      <x:c r="B19" s="156" t="str">
        <x:v>Digital_Coordination_Level</x:v>
      </x:c>
      <x:c r="C19" s="156" t="str">
        <x:v>Moderate</x:v>
      </x:c>
      <x:c r="D19" s="156" t="n">
        <x:v>214</x:v>
      </x:c>
      <x:c r="E19" s="160" t="n">
        <x:v>0.2570093457943925</x:v>
      </x:c>
      <x:c r="F19" s="160" t="n">
        <x:v>0.34673577126385224</x:v>
      </x:c>
      <x:c r="G19" s="160" t="n">
        <x:v>0.865980560320183</x:v>
      </x:c>
      <x:c r="H19" s="160" t="n">
        <x:v>0.6363636363636364</x:v>
      </x:c>
      <x:c r="I19" s="160" t="n">
        <x:v>0.7636363636363637</x:v>
      </x:c>
    </x:row>
    <x:row r="20">
      <x:c r="A20" s="156" t="str">
        <x:v>Cost_Overrun_Flag</x:v>
      </x:c>
      <x:c r="B20" s="156" t="str">
        <x:v>Owner_Decision_Profile</x:v>
      </x:c>
      <x:c r="C20" s="156" t="str">
        <x:v>Fast</x:v>
      </x:c>
      <x:c r="D20" s="156" t="n">
        <x:v>126</x:v>
      </x:c>
      <x:c r="E20" s="160" t="n">
        <x:v>0.14285714285714285</x:v>
      </x:c>
      <x:c r="F20" s="160" t="n">
        <x:v>0.24230738109683142</x:v>
      </x:c>
      <x:c r="G20" s="160" t="n">
        <x:v>0.9197530864197531</x:v>
      </x:c>
      <x:c r="H20" s="160" t="n">
        <x:v>0.7222222222222222</x:v>
      </x:c>
      <x:c r="I20" s="160" t="n">
        <x:v>0.7222222222222222</x:v>
      </x:c>
    </x:row>
    <x:row r="21">
      <x:c r="A21" s="156" t="str">
        <x:v>Cost_Overrun_Flag</x:v>
      </x:c>
      <x:c r="B21" s="156" t="str">
        <x:v>Owner_Decision_Profile</x:v>
      </x:c>
      <x:c r="C21" s="156" t="str">
        <x:v>Slow</x:v>
      </x:c>
      <x:c r="D21" s="156" t="n">
        <x:v>101</x:v>
      </x:c>
      <x:c r="E21" s="160" t="n">
        <x:v>0.46534653465346537</x:v>
      </x:c>
      <x:c r="F21" s="160" t="n">
        <x:v>0.5283217630365853</x:v>
      </x:c>
      <x:c r="G21" s="160" t="n">
        <x:v>0.8884948778565799</x:v>
      </x:c>
      <x:c r="H21" s="160" t="n">
        <x:v>0.7049180327868853</x:v>
      </x:c>
      <x:c r="I21" s="160" t="n">
        <x:v>0.9148936170212766</x:v>
      </x:c>
    </x:row>
    <x:row r="22">
      <x:c r="A22" s="156" t="str">
        <x:v>Cost_Overrun_Flag</x:v>
      </x:c>
      <x:c r="B22" s="156" t="str">
        <x:v>Owner_Decision_Profile</x:v>
      </x:c>
      <x:c r="C22" s="156" t="str">
        <x:v>Standard</x:v>
      </x:c>
      <x:c r="D22" s="156" t="n">
        <x:v>209</x:v>
      </x:c>
      <x:c r="E22" s="160" t="n">
        <x:v>0.22009569377990432</x:v>
      </x:c>
      <x:c r="F22" s="160" t="n">
        <x:v>0.34444185298500735</x:v>
      </x:c>
      <x:c r="G22" s="160" t="n">
        <x:v>0.8610296078954388</x:v>
      </x:c>
      <x:c r="H22" s="160" t="n">
        <x:v>0.5230769230769231</x:v>
      </x:c>
      <x:c r="I22" s="160" t="n">
        <x:v>0.7391304347826086</x:v>
      </x:c>
    </x:row>
    <x:row r="23">
      <x:c r="A23" s="156" t="str">
        <x:v>Cost_Overrun_Flag</x:v>
      </x:c>
      <x:c r="B23" s="156" t="str">
        <x:v>Delivery_Method</x:v>
      </x:c>
      <x:c r="C23" s="156" t="str">
        <x:v>CMAR</x:v>
      </x:c>
      <x:c r="D23" s="156" t="n">
        <x:v>107</x:v>
      </x:c>
      <x:c r="E23" s="160" t="n">
        <x:v>0.2523364485981308</x:v>
      </x:c>
      <x:c r="F23" s="160" t="n">
        <x:v>0.37900504991128087</x:v>
      </x:c>
      <x:c r="G23" s="160" t="n">
        <x:v>0.8907407407407407</x:v>
      </x:c>
      <x:c r="H23" s="160" t="n">
        <x:v>0.5675675675675675</x:v>
      </x:c>
      <x:c r="I23" s="160" t="n">
        <x:v>0.7777777777777778</x:v>
      </x:c>
    </x:row>
    <x:row r="24">
      <x:c r="A24" s="156" t="str">
        <x:v>Cost_Overrun_Flag</x:v>
      </x:c>
      <x:c r="B24" s="156" t="str">
        <x:v>Delivery_Method</x:v>
      </x:c>
      <x:c r="C24" s="156" t="str">
        <x:v>Design-Bid-Build</x:v>
      </x:c>
      <x:c r="D24" s="156" t="n">
        <x:v>151</x:v>
      </x:c>
      <x:c r="E24" s="160" t="n">
        <x:v>0.31125827814569534</x:v>
      </x:c>
      <x:c r="F24" s="160" t="n">
        <x:v>0.39215150601819504</x:v>
      </x:c>
      <x:c r="G24" s="160" t="n">
        <x:v>0.9290098199672668</x:v>
      </x:c>
      <x:c r="H24" s="160" t="n">
        <x:v>0.7192982456140351</x:v>
      </x:c>
      <x:c r="I24" s="160" t="n">
        <x:v>0.8723404255319149</x:v>
      </x:c>
    </x:row>
    <x:row r="25">
      <x:c r="A25" s="156" t="str">
        <x:v>Cost_Overrun_Flag</x:v>
      </x:c>
      <x:c r="B25" s="156" t="str">
        <x:v>Delivery_Method</x:v>
      </x:c>
      <x:c r="C25" s="156" t="str">
        <x:v>Design-Build</x:v>
      </x:c>
      <x:c r="D25" s="156" t="n">
        <x:v>114</x:v>
      </x:c>
      <x:c r="E25" s="160" t="n">
        <x:v>0.18421052631578946</x:v>
      </x:c>
      <x:c r="F25" s="160" t="n">
        <x:v>0.3085704921052062</x:v>
      </x:c>
      <x:c r="G25" s="160" t="n">
        <x:v>0.9109062980030721</x:v>
      </x:c>
      <x:c r="H25" s="160" t="n">
        <x:v>0.5483870967741935</x:v>
      </x:c>
      <x:c r="I25" s="160" t="n">
        <x:v>0.8095238095238095</x:v>
      </x:c>
    </x:row>
    <x:row r="26">
      <x:c r="A26" s="156" t="str">
        <x:v>Cost_Overrun_Flag</x:v>
      </x:c>
      <x:c r="B26" s="156" t="str">
        <x:v>Delivery_Method</x:v>
      </x:c>
      <x:c r="C26" s="156" t="str">
        <x:v>IPD</x:v>
      </x:c>
      <x:c r="D26" s="156" t="n">
        <x:v>64</x:v>
      </x:c>
      <x:c r="E26" s="160" t="n">
        <x:v>0.25</x:v>
      </x:c>
      <x:c r="F26" s="160" t="n">
        <x:v>0.3270956485861627</x:v>
      </x:c>
      <x:c r="G26" s="160" t="n">
        <x:v>0.7877604166666666</x:v>
      </x:c>
      <x:c r="H26" s="160" t="n">
        <x:v>0.5789473684210527</x:v>
      </x:c>
      <x:c r="I26" s="160" t="n">
        <x:v>0.6875</x:v>
      </x:c>
    </x:row>
    <x:row r="27">
      <x:c r="A27" s="156" t="str">
        <x:v>Schedule_Delay_Flag</x:v>
      </x:c>
      <x:c r="B27" s="156" t="str">
        <x:v>Project_Type</x:v>
      </x:c>
      <x:c r="C27" s="156" t="str">
        <x:v>Commercial</x:v>
      </x:c>
      <x:c r="D27" s="156" t="n">
        <x:v>84</x:v>
      </x:c>
      <x:c r="E27" s="160" t="n">
        <x:v>0.10714285714285714</x:v>
      </x:c>
      <x:c r="F27" s="160" t="n">
        <x:v>0.34710772495183373</x:v>
      </x:c>
      <x:c r="G27" s="160" t="n">
        <x:v>0.831111111111111</x:v>
      </x:c>
      <x:c r="H27" s="160" t="n">
        <x:v>0.75</x:v>
      </x:c>
      <x:c r="I27" s="160" t="n">
        <x:v>0.6666666666666666</x:v>
      </x:c>
    </x:row>
    <x:row r="28">
      <x:c r="A28" s="156" t="str">
        <x:v>Schedule_Delay_Flag</x:v>
      </x:c>
      <x:c r="B28" s="156" t="str">
        <x:v>Project_Type</x:v>
      </x:c>
      <x:c r="C28" s="156" t="str">
        <x:v>Heavy Civil</x:v>
      </x:c>
      <x:c r="D28" s="156" t="n">
        <x:v>61</x:v>
      </x:c>
      <x:c r="E28" s="160" t="n">
        <x:v>0.26229508196721313</x:v>
      </x:c>
      <x:c r="F28" s="160" t="n">
        <x:v>0.4146328053757224</x:v>
      </x:c>
      <x:c r="G28" s="160" t="n">
        <x:v>0.8527777777777777</x:v>
      </x:c>
      <x:c r="H28" s="160" t="n">
        <x:v>0.6923076923076923</x:v>
      </x:c>
      <x:c r="I28" s="160" t="n">
        <x:v>0.5625</x:v>
      </x:c>
    </x:row>
    <x:row r="29">
      <x:c r="A29" s="156" t="str">
        <x:v>Schedule_Delay_Flag</x:v>
      </x:c>
      <x:c r="B29" s="156" t="str">
        <x:v>Project_Type</x:v>
      </x:c>
      <x:c r="C29" s="156" t="str">
        <x:v>Industrial</x:v>
      </x:c>
      <x:c r="D29" s="156" t="n">
        <x:v>46</x:v>
      </x:c>
      <x:c r="E29" s="160" t="n">
        <x:v>0.15217391304347827</x:v>
      </x:c>
      <x:c r="F29" s="160" t="n">
        <x:v>0.3379222407629854</x:v>
      </x:c>
      <x:c r="G29" s="160" t="n">
        <x:v>0.9157509157509158</x:v>
      </x:c>
      <x:c r="H29" s="160" t="n">
        <x:v>0.5</x:v>
      </x:c>
      <x:c r="I29" s="160" t="n">
        <x:v>0.2857142857142857</x:v>
      </x:c>
    </x:row>
    <x:row r="30">
      <x:c r="A30" s="156" t="str">
        <x:v>Schedule_Delay_Flag</x:v>
      </x:c>
      <x:c r="B30" s="156" t="str">
        <x:v>Project_Type</x:v>
      </x:c>
      <x:c r="C30" s="156" t="str">
        <x:v>Infrastructure</x:v>
      </x:c>
      <x:c r="D30" s="156" t="n">
        <x:v>47</x:v>
      </x:c>
      <x:c r="E30" s="160" t="n">
        <x:v>0.2765957446808511</x:v>
      </x:c>
      <x:c r="F30" s="160" t="n">
        <x:v>0.4422695400828051</x:v>
      </x:c>
      <x:c r="G30" s="160" t="n">
        <x:v>0.8416289592760181</x:v>
      </x:c>
      <x:c r="H30" s="160" t="n">
        <x:v>0.7777777777777778</x:v>
      </x:c>
      <x:c r="I30" s="160" t="n">
        <x:v>0.5384615384615384</x:v>
      </x:c>
    </x:row>
    <x:row r="31">
      <x:c r="A31" s="156" t="str">
        <x:v>Schedule_Delay_Flag</x:v>
      </x:c>
      <x:c r="B31" s="156" t="str">
        <x:v>Project_Type</x:v>
      </x:c>
      <x:c r="C31" s="156" t="str">
        <x:v>Institutional</x:v>
      </x:c>
      <x:c r="D31" s="156" t="n">
        <x:v>59</x:v>
      </x:c>
      <x:c r="E31" s="160" t="n">
        <x:v>0.2033898305084746</x:v>
      </x:c>
      <x:c r="F31" s="160" t="n">
        <x:v>0.3643505515038221</x:v>
      </x:c>
      <x:c r="G31" s="160" t="n">
        <x:v>0.7269503546099291</x:v>
      </x:c>
      <x:c r="H31" s="160" t="n">
        <x:v>0.38461538461538464</x:v>
      </x:c>
      <x:c r="I31" s="160" t="n">
        <x:v>0.4166666666666667</x:v>
      </x:c>
    </x:row>
    <x:row r="32">
      <x:c r="A32" s="156" t="str">
        <x:v>Schedule_Delay_Flag</x:v>
      </x:c>
      <x:c r="B32" s="156" t="str">
        <x:v>Project_Type</x:v>
      </x:c>
      <x:c r="C32" s="156" t="str">
        <x:v>Mixed-Use</x:v>
      </x:c>
      <x:c r="D32" s="156" t="n">
        <x:v>57</x:v>
      </x:c>
      <x:c r="E32" s="160" t="n">
        <x:v>0.22807017543859648</x:v>
      </x:c>
      <x:c r="F32" s="160" t="n">
        <x:v>0.4306383029970715</x:v>
      </x:c>
      <x:c r="G32" s="160" t="n">
        <x:v>0.6083916083916083</x:v>
      </x:c>
      <x:c r="H32" s="160" t="n">
        <x:v>0.4</x:v>
      </x:c>
      <x:c r="I32" s="160" t="n">
        <x:v>0.46153846153846156</x:v>
      </x:c>
    </x:row>
    <x:row r="33">
      <x:c r="A33" s="156" t="str">
        <x:v>Schedule_Delay_Flag</x:v>
      </x:c>
      <x:c r="B33" s="156" t="str">
        <x:v>Project_Type</x:v>
      </x:c>
      <x:c r="C33" s="156" t="str">
        <x:v>Residential</x:v>
      </x:c>
      <x:c r="D33" s="156" t="n">
        <x:v>82</x:v>
      </x:c>
      <x:c r="E33" s="160" t="n">
        <x:v>0.1951219512195122</x:v>
      </x:c>
      <x:c r="F33" s="160" t="n">
        <x:v>0.38569765002765843</x:v>
      </x:c>
      <x:c r="G33" s="160" t="n">
        <x:v>0.5928030303030303</x:v>
      </x:c>
      <x:c r="H33" s="160" t="n">
        <x:v>0.3076923076923077</x:v>
      </x:c>
      <x:c r="I33" s="160" t="n">
        <x:v>0.25</x:v>
      </x:c>
    </x:row>
    <x:row r="34">
      <x:c r="A34" s="156" t="str">
        <x:v>Schedule_Delay_Flag</x:v>
      </x:c>
      <x:c r="B34" s="156" t="str">
        <x:v>Complexity_Level</x:v>
      </x:c>
      <x:c r="C34" s="156" t="str">
        <x:v>High</x:v>
      </x:c>
      <x:c r="D34" s="156" t="n">
        <x:v>147</x:v>
      </x:c>
      <x:c r="E34" s="160" t="n">
        <x:v>0.19727891156462585</x:v>
      </x:c>
      <x:c r="F34" s="160" t="n">
        <x:v>0.4257119166735645</x:v>
      </x:c>
      <x:c r="G34" s="160" t="n">
        <x:v>0.7045587375803622</x:v>
      </x:c>
      <x:c r="H34" s="160" t="n">
        <x:v>0.5384615384615384</x:v>
      </x:c>
      <x:c r="I34" s="160" t="n">
        <x:v>0.4827586206896552</x:v>
      </x:c>
    </x:row>
    <x:row r="35">
      <x:c r="A35" s="156" t="str">
        <x:v>Schedule_Delay_Flag</x:v>
      </x:c>
      <x:c r="B35" s="156" t="str">
        <x:v>Complexity_Level</x:v>
      </x:c>
      <x:c r="C35" s="156" t="str">
        <x:v>Low</x:v>
      </x:c>
      <x:c r="D35" s="156" t="n">
        <x:v>56</x:v>
      </x:c>
      <x:c r="E35" s="160" t="n">
        <x:v>0.10714285714285714</x:v>
      </x:c>
      <x:c r="F35" s="160" t="n">
        <x:v>0.1910243223778426</x:v>
      </x:c>
      <x:c r="G35" s="160" t="n">
        <x:v>0.7566666666666667</x:v>
      </x:c>
      <x:c r="H35" s="160" t="n">
        <x:v>1</x:v>
      </x:c>
      <x:c r="I35" s="160" t="n">
        <x:v>0.16666666666666666</x:v>
      </x:c>
    </x:row>
    <x:row r="36">
      <x:c r="A36" s="156" t="str">
        <x:v>Schedule_Delay_Flag</x:v>
      </x:c>
      <x:c r="B36" s="156" t="str">
        <x:v>Complexity_Level</x:v>
      </x:c>
      <x:c r="C36" s="156" t="str">
        <x:v>Moderate</x:v>
      </x:c>
      <x:c r="D36" s="156" t="n">
        <x:v>175</x:v>
      </x:c>
      <x:c r="E36" s="160" t="n">
        <x:v>0.15428571428571428</x:v>
      </x:c>
      <x:c r="F36" s="160" t="n">
        <x:v>0.3545628638974564</x:v>
      </x:c>
      <x:c r="G36" s="160" t="n">
        <x:v>0.7367367367367368</x:v>
      </x:c>
      <x:c r="H36" s="160" t="n">
        <x:v>0.44</x:v>
      </x:c>
      <x:c r="I36" s="160" t="n">
        <x:v>0.4074074074074074</x:v>
      </x:c>
    </x:row>
    <x:row r="37">
      <x:c r="A37" s="156" t="str">
        <x:v>Schedule_Delay_Flag</x:v>
      </x:c>
      <x:c r="B37" s="156" t="str">
        <x:v>Complexity_Level</x:v>
      </x:c>
      <x:c r="C37" s="156" t="str">
        <x:v>Very High</x:v>
      </x:c>
      <x:c r="D37" s="156" t="n">
        <x:v>58</x:v>
      </x:c>
      <x:c r="E37" s="160" t="n">
        <x:v>0.41379310344827586</x:v>
      </x:c>
      <x:c r="F37" s="160" t="n">
        <x:v>0.5711293035941518</x:v>
      </x:c>
      <x:c r="G37" s="160" t="n">
        <x:v>0.7181372549019608</x:v>
      </x:c>
      <x:c r="H37" s="160" t="n">
        <x:v>0.5652173913043478</x:v>
      </x:c>
      <x:c r="I37" s="160" t="n">
        <x:v>0.5416666666666666</x:v>
      </x:c>
    </x:row>
    <x:row r="38">
      <x:c r="A38" s="156" t="str">
        <x:v>Schedule_Delay_Flag</x:v>
      </x:c>
      <x:c r="B38" s="156" t="str">
        <x:v>Digital_Coordination_Level</x:v>
      </x:c>
      <x:c r="C38" s="156" t="str">
        <x:v>High</x:v>
      </x:c>
      <x:c r="D38" s="156" t="n">
        <x:v>120</x:v>
      </x:c>
      <x:c r="E38" s="160" t="n">
        <x:v>0.2</x:v>
      </x:c>
      <x:c r="F38" s="160" t="n">
        <x:v>0.305854940664066</x:v>
      </x:c>
      <x:c r="G38" s="160" t="n">
        <x:v>0.7369791666666667</x:v>
      </x:c>
      <x:c r="H38" s="160" t="n">
        <x:v>0.625</x:v>
      </x:c>
      <x:c r="I38" s="160" t="n">
        <x:v>0.20833333333333334</x:v>
      </x:c>
    </x:row>
    <x:row r="39">
      <x:c r="A39" s="156" t="str">
        <x:v>Schedule_Delay_Flag</x:v>
      </x:c>
      <x:c r="B39" s="156" t="str">
        <x:v>Digital_Coordination_Level</x:v>
      </x:c>
      <x:c r="C39" s="156" t="str">
        <x:v>Low</x:v>
      </x:c>
      <x:c r="D39" s="156" t="n">
        <x:v>102</x:v>
      </x:c>
      <x:c r="E39" s="160" t="n">
        <x:v>0.27450980392156865</x:v>
      </x:c>
      <x:c r="F39" s="160" t="n">
        <x:v>0.5124420403238823</x:v>
      </x:c>
      <x:c r="G39" s="160" t="n">
        <x:v>0.7924710424710425</x:v>
      </x:c>
      <x:c r="H39" s="160" t="n">
        <x:v>0.5142857142857142</x:v>
      </x:c>
      <x:c r="I39" s="160" t="n">
        <x:v>0.6428571428571429</x:v>
      </x:c>
    </x:row>
    <x:row r="40">
      <x:c r="A40" s="156" t="str">
        <x:v>Schedule_Delay_Flag</x:v>
      </x:c>
      <x:c r="B40" s="156" t="str">
        <x:v>Digital_Coordination_Level</x:v>
      </x:c>
      <x:c r="C40" s="156" t="str">
        <x:v>Moderate</x:v>
      </x:c>
      <x:c r="D40" s="156" t="n">
        <x:v>214</x:v>
      </x:c>
      <x:c r="E40" s="160" t="n">
        <x:v>0.1588785046728972</x:v>
      </x:c>
      <x:c r="F40" s="160" t="n">
        <x:v>0.3713987551493688</x:v>
      </x:c>
      <x:c r="G40" s="160" t="n">
        <x:v>0.7336601307189543</x:v>
      </x:c>
      <x:c r="H40" s="160" t="n">
        <x:v>0.5</x:v>
      </x:c>
      <x:c r="I40" s="160" t="n">
        <x:v>0.47058823529411764</x:v>
      </x:c>
    </x:row>
    <x:row r="41">
      <x:c r="A41" s="156" t="str">
        <x:v>Schedule_Delay_Flag</x:v>
      </x:c>
      <x:c r="B41" s="156" t="str">
        <x:v>Owner_Decision_Profile</x:v>
      </x:c>
      <x:c r="C41" s="156" t="str">
        <x:v>Fast</x:v>
      </x:c>
      <x:c r="D41" s="156" t="n">
        <x:v>126</x:v>
      </x:c>
      <x:c r="E41" s="160" t="n">
        <x:v>0.0873015873015873</x:v>
      </x:c>
      <x:c r="F41" s="160" t="n">
        <x:v>0.23704540222955275</x:v>
      </x:c>
      <x:c r="G41" s="160" t="n">
        <x:v>0.7075098814229248</x:v>
      </x:c>
      <x:c r="H41" s="160" t="n">
        <x:v>0.375</x:v>
      </x:c>
      <x:c r="I41" s="160" t="n">
        <x:v>0.2727272727272727</x:v>
      </x:c>
    </x:row>
    <x:row r="42">
      <x:c r="A42" s="156" t="str">
        <x:v>Schedule_Delay_Flag</x:v>
      </x:c>
      <x:c r="B42" s="156" t="str">
        <x:v>Owner_Decision_Profile</x:v>
      </x:c>
      <x:c r="C42" s="156" t="str">
        <x:v>Slow</x:v>
      </x:c>
      <x:c r="D42" s="156" t="n">
        <x:v>101</x:v>
      </x:c>
      <x:c r="E42" s="160" t="n">
        <x:v>0.37623762376237624</x:v>
      </x:c>
      <x:c r="F42" s="160" t="n">
        <x:v>0.5632150611175022</x:v>
      </x:c>
      <x:c r="G42" s="160" t="n">
        <x:v>0.8178780284043441</x:v>
      </x:c>
      <x:c r="H42" s="160" t="n">
        <x:v>0.7142857142857143</x:v>
      </x:c>
      <x:c r="I42" s="160" t="n">
        <x:v>0.6578947368421053</x:v>
      </x:c>
    </x:row>
    <x:row r="43">
      <x:c r="A43" s="156" t="str">
        <x:v>Schedule_Delay_Flag</x:v>
      </x:c>
      <x:c r="B43" s="156" t="str">
        <x:v>Owner_Decision_Profile</x:v>
      </x:c>
      <x:c r="C43" s="156" t="str">
        <x:v>Standard</x:v>
      </x:c>
      <x:c r="D43" s="156" t="n">
        <x:v>209</x:v>
      </x:c>
      <x:c r="E43" s="160" t="n">
        <x:v>0.17703349282296652</x:v>
      </x:c>
      <x:c r="F43" s="160" t="n">
        <x:v>0.3909022619181699</x:v>
      </x:c>
      <x:c r="G43" s="160" t="n">
        <x:v>0.6341923318667505</x:v>
      </x:c>
      <x:c r="H43" s="160" t="n">
        <x:v>0.34375</x:v>
      </x:c>
      <x:c r="I43" s="160" t="n">
        <x:v>0.2972972972972973</x:v>
      </x:c>
    </x:row>
    <x:row r="44">
      <x:c r="A44" s="156" t="str">
        <x:v>Schedule_Delay_Flag</x:v>
      </x:c>
      <x:c r="B44" s="156" t="str">
        <x:v>Delivery_Method</x:v>
      </x:c>
      <x:c r="C44" s="156" t="str">
        <x:v>CMAR</x:v>
      </x:c>
      <x:c r="D44" s="156" t="n">
        <x:v>107</x:v>
      </x:c>
      <x:c r="E44" s="160" t="n">
        <x:v>0.27102803738317754</x:v>
      </x:c>
      <x:c r="F44" s="160" t="n">
        <x:v>0.37589629043593853</x:v>
      </x:c>
      <x:c r="G44" s="160" t="n">
        <x:v>0.748894783377542</x:v>
      </x:c>
      <x:c r="H44" s="160" t="n">
        <x:v>0.6842105263157895</x:v>
      </x:c>
      <x:c r="I44" s="160" t="n">
        <x:v>0.4482758620689655</x:v>
      </x:c>
    </x:row>
    <x:row r="45">
      <x:c r="A45" s="156" t="str">
        <x:v>Schedule_Delay_Flag</x:v>
      </x:c>
      <x:c r="B45" s="156" t="str">
        <x:v>Delivery_Method</x:v>
      </x:c>
      <x:c r="C45" s="156" t="str">
        <x:v>Design-Bid-Build</x:v>
      </x:c>
      <x:c r="D45" s="156" t="n">
        <x:v>151</x:v>
      </x:c>
      <x:c r="E45" s="160" t="n">
        <x:v>0.17880794701986755</x:v>
      </x:c>
      <x:c r="F45" s="160" t="n">
        <x:v>0.4187234646048018</x:v>
      </x:c>
      <x:c r="G45" s="160" t="n">
        <x:v>0.7186379928315412</x:v>
      </x:c>
      <x:c r="H45" s="160" t="n">
        <x:v>0.3793103448275862</x:v>
      </x:c>
      <x:c r="I45" s="160" t="n">
        <x:v>0.4074074074074074</x:v>
      </x:c>
    </x:row>
    <x:row r="46">
      <x:c r="A46" s="156" t="str">
        <x:v>Schedule_Delay_Flag</x:v>
      </x:c>
      <x:c r="B46" s="156" t="str">
        <x:v>Delivery_Method</x:v>
      </x:c>
      <x:c r="C46" s="156" t="str">
        <x:v>Design-Build</x:v>
      </x:c>
      <x:c r="D46" s="156" t="n">
        <x:v>114</x:v>
      </x:c>
      <x:c r="E46" s="160" t="n">
        <x:v>0.14035087719298245</x:v>
      </x:c>
      <x:c r="F46" s="160" t="n">
        <x:v>0.3702678623629833</x:v>
      </x:c>
      <x:c r="G46" s="160" t="n">
        <x:v>0.8418367346938775</x:v>
      </x:c>
      <x:c r="H46" s="160" t="n">
        <x:v>0.5555555555555556</x:v>
      </x:c>
      <x:c r="I46" s="160" t="n">
        <x:v>0.625</x:v>
      </x:c>
    </x:row>
    <x:row r="47">
      <x:c r="A47" s="156" t="str">
        <x:v>Schedule_Delay_Flag</x:v>
      </x:c>
      <x:c r="B47" s="156" t="str">
        <x:v>Delivery_Method</x:v>
      </x:c>
      <x:c r="C47" s="156" t="str">
        <x:v>IPD</x:v>
      </x:c>
      <x:c r="D47" s="156" t="n">
        <x:v>64</x:v>
      </x:c>
      <x:c r="E47" s="160" t="n">
        <x:v>0.21875</x:v>
      </x:c>
      <x:c r="F47" s="160" t="n">
        <x:v>0.35613018833341054</x:v>
      </x:c>
      <x:c r="G47" s="160" t="n">
        <x:v>0.7671428571428572</x:v>
      </x:c>
      <x:c r="H47" s="160" t="n">
        <x:v>0.5555555555555556</x:v>
      </x:c>
      <x:c r="I47" s="160" t="n">
        <x:v>0.35714285714285715</x:v>
      </x:c>
    </x:row>
  </x:sheetData>
  <x:mergeCells>
    <x:mergeCell ref="A1:I1"/>
    <x:mergeCell ref="A2:H3"/>
  </x:mergeCells>
  <x:pageMargins left="0.7" right="0.7" top="0.75" bottom="0.75" header="0.3" footer="0.3"/>
  <x:tableParts count="1">
    <x:tablePart xmlns:r="http://schemas.openxmlformats.org/officeDocument/2006/relationships" r:id="Rec5d6caf0491454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96" hidden="0" customWidth="1"/>
    <x:col min="4" max="4" width="42" hidden="0" customWidth="1"/>
  </x:cols>
  <x:sheetData>
    <x:row r="1" ht="32" customHeight="1">
      <x:c r="A1" s="4" t="str">
        <x:v>Sources and Governance</x:v>
      </x:c>
      <x:c r="B1" s="4"/>
      <x:c r="C1" s="4"/>
      <x:c r="D1" s="4"/>
    </x:row>
    <x:row r="2">
      <x:c r="A2" s="11" t="str">
        <x:v>Project sources and professional methodology references.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5">
      <x:c r="A5" s="150" t="str">
        <x:v>Source Type</x:v>
      </x:c>
      <x:c r="B5" s="150" t="str">
        <x:v>Source</x:v>
      </x:c>
      <x:c r="C5" s="150" t="str">
        <x:v>Location / URL</x:v>
      </x:c>
      <x:c r="D5" s="150" t="str">
        <x:v>Use</x:v>
      </x:c>
    </x:row>
    <x:row r="6">
      <x:c r="A6" s="156" t="str">
        <x:v>Project data</x:v>
      </x:c>
      <x:c r="B6" s="156" t="str">
        <x:v>Modeling dataset</x:v>
      </x:c>
      <x:c r="C6" s="156" t="str">
        <x:v>data/processed/modeling_dataset_clean.csv</x:v>
      </x:c>
      <x:c r="D6" s="156" t="str">
        <x:v>Predictors and targets</x:v>
      </x:c>
    </x:row>
    <x:row r="7">
      <x:c r="A7" s="156" t="str">
        <x:v>Project data</x:v>
      </x:c>
      <x:c r="B7" s="156" t="str">
        <x:v>Feature lineage</x:v>
      </x:c>
      <x:c r="C7" s="156" t="str">
        <x:v>documentation/feature_lineage.csv</x:v>
      </x:c>
      <x:c r="D7" s="156" t="str">
        <x:v>Projects 1 and 2 feature concepts</x:v>
      </x:c>
    </x:row>
    <x:row r="8">
      <x:c r="A8" s="156" t="str">
        <x:v>Methodology</x:v>
      </x:c>
      <x:c r="B8" s="156" t="str">
        <x:v>IBM CRISP-DM</x:v>
      </x:c>
      <x:c r="C8" s="156" t="str">
        <x:v>https://www.ibm.com/docs/en/spss-modeler/18.6.0?topic=dm-crisp-help-overview</x:v>
      </x:c>
      <x:c r="D8" s="156" t="str">
        <x:v>Lifecycle terminology</x:v>
      </x:c>
    </x:row>
    <x:row r="9">
      <x:c r="A9" s="156" t="str">
        <x:v>Methodology</x:v>
      </x:c>
      <x:c r="B9" s="156" t="str">
        <x:v>ASQ DMAIC</x:v>
      </x:c>
      <x:c r="C9" s="156" t="str">
        <x:v>https://asq.org/quality-resources/dmaic</x:v>
      </x:c>
      <x:c r="D9" s="156" t="str">
        <x:v>Analyze, Improve, Control</x:v>
      </x:c>
    </x:row>
    <x:row r="10">
      <x:c r="A10" s="156" t="str">
        <x:v>Methodology</x:v>
      </x:c>
      <x:c r="B10" s="156" t="str">
        <x:v>Microsoft Data Science Lifecycle</x:v>
      </x:c>
      <x:c r="C10" s="156" t="str">
        <x:v>https://learn.microsoft.com/en-us/shows/dev-intro-to-data-science/what-is-the-data-science-lifecycle-2-of-28</x:v>
      </x:c>
      <x:c r="D10" s="156" t="str">
        <x:v>Modeling and deployment</x:v>
      </x:c>
    </x:row>
    <x:row r="11">
      <x:c r="A11" s="156" t="str">
        <x:v>Methodology</x:v>
      </x:c>
      <x:c r="B11" s="156" t="str">
        <x:v>PMI Process Groups</x:v>
      </x:c>
      <x:c r="C11" s="156" t="str">
        <x:v>https://www.pmi.org/standards/process-groups</x:v>
      </x:c>
      <x:c r="D11" s="156" t="str">
        <x:v>Governance terminology</x:v>
      </x:c>
    </x:row>
  </x:sheetData>
  <x:mergeCells>
    <x:mergeCell ref="A1:D1"/>
    <x:mergeCell ref="A2:H3"/>
  </x:mergeCells>
  <x:pageMargins left="0.7" right="0.7" top="0.75" bottom="0.75" header="0.3" footer="0.3"/>
  <x:tableParts count="1">
    <x:tablePart xmlns:r="http://schemas.openxmlformats.org/officeDocument/2006/relationships" r:id="Rf6a536a652c2449d"/>
  </x:tableParts>
</x:worksheet>
</file>