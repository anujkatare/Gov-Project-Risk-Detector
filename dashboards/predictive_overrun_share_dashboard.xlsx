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a36de229a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Metrics" sheetId="1" r:id="R2d4a7c8956cd4e01"/>
    <x:sheet xmlns:r="http://schemas.openxmlformats.org/officeDocument/2006/relationships" name="Executive_Dashboard" sheetId="2" r:id="Ra88328bd3cda4608"/>
    <x:sheet xmlns:r="http://schemas.openxmlformats.org/officeDocument/2006/relationships" name="Model_Performance" sheetId="3" r:id="R84762eb2c1514ebc"/>
    <x:sheet xmlns:r="http://schemas.openxmlformats.org/officeDocument/2006/relationships" name="Project_Risk" sheetId="4" r:id="Rde06a6246a724cea"/>
    <x:sheet xmlns:r="http://schemas.openxmlformats.org/officeDocument/2006/relationships" name="Feature_Drivers" sheetId="5" r:id="R5d81b908e4ba4852"/>
    <x:sheet xmlns:r="http://schemas.openxmlformats.org/officeDocument/2006/relationships" name="Sources" sheetId="6" r:id="R883c24585439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0E3557"/>
      <x:name val="Carlito"/>
    </x:font>
    <x:font>
      <x:b/>
      <x:sz val="18"/>
      <x:color rgb="FF071A2C"/>
      <x:name val="Carlito"/>
    </x:font>
    <x:font>
      <x:b/>
      <x:sz val="11"/>
      <x:color rgb="FF9C2E2E"/>
      <x:name val="Carlito"/>
    </x:font>
    <x:font>
      <x:b/>
      <x:sz val="11"/>
      <x:color rgb="FF8A6500"/>
      <x:name val="Carlito"/>
    </x:font>
    <x:font>
      <x:b/>
      <x:sz val="11"/>
      <x:color rgb="FF2F6B3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5F86"/>
      </x:patternFill>
    </x:fill>
    <x:fill>
      <x:patternFill patternType="solid">
        <x:fgColor rgb="FF071A2C"/>
      </x:patternFill>
    </x:fill>
    <x:fill>
      <x:patternFill patternType="solid">
        <x:fgColor rgb="FFDDF3F8"/>
      </x:patternFill>
    </x:fill>
    <x:fill>
      <x:patternFill patternType="solid">
        <x:fgColor rgb="FFFFFFFF"/>
      </x:patternFill>
    </x:fill>
    <x:fill>
      <x:patternFill patternType="solid">
        <x:fgColor rgb="FFFCE2E0"/>
      </x:patternFill>
    </x:fill>
    <x:fill>
      <x:patternFill patternType="solid">
        <x:fgColor rgb="FFFFF2CC"/>
      </x:patternFill>
    </x:fill>
    <x:fill>
      <x:patternFill patternType="solid">
        <x:fgColor rgb="FFDDEFE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0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200" fontId="4" fillId="5" borderId="10" xfId="0" applyNumberFormat="1" applyFont="1" applyFill="1" applyBorder="1"/>
    <x:xf numFmtId="200" fontId="4" fillId="5" borderId="11" xfId="0" applyNumberFormat="1" applyFont="1" applyFill="1" applyBorder="1"/>
    <x:xf numFmtId="200" fontId="4" fillId="5" borderId="12" xfId="0" applyNumberFormat="1" applyFont="1" applyFill="1" applyBorder="1"/>
    <x:xf numFmtId="200" fontId="4" fillId="5" borderId="13" xfId="0" applyNumberFormat="1" applyFont="1" applyFill="1" applyBorder="1"/>
    <x:xf numFmtId="200" fontId="4" fillId="5" borderId="1" xfId="0" applyNumberFormat="1" applyFont="1" applyFill="1" applyBorder="1"/>
    <x:xf numFmtId="200" fontId="4" fillId="5" borderId="14" xfId="0" applyNumberFormat="1" applyFont="1" applyFill="1" applyBorder="1"/>
    <x:xf numFmtId="200" fontId="4" fillId="5" borderId="15" xfId="0" applyNumberFormat="1" applyFont="1" applyFill="1" applyBorder="1"/>
    <x:xf numFmtId="200" fontId="4" fillId="5" borderId="16" xfId="0" applyNumberFormat="1" applyFont="1" applyFill="1" applyBorder="1"/>
    <x:xf numFmtId="200" fontId="4" fillId="5" borderId="17" xfId="0" applyNumberFormat="1" applyFont="1" applyFill="1" applyBorder="1"/>
    <x:xf numFmtId="200" fontId="4" fillId="5" borderId="10" xfId="0" applyNumberFormat="1" applyFont="1" applyFill="1" applyBorder="1" applyAlignment="1">
      <x:alignment horizontal="center"/>
    </x:xf>
    <x:xf numFmtId="200" fontId="4" fillId="5" borderId="11" xfId="0" applyNumberFormat="1" applyFont="1" applyFill="1" applyBorder="1" applyAlignment="1">
      <x:alignment horizontal="center"/>
    </x:xf>
    <x:xf numFmtId="200" fontId="4" fillId="5" borderId="12" xfId="0" applyNumberFormat="1" applyFont="1" applyFill="1" applyBorder="1" applyAlignment="1">
      <x:alignment horizontal="center"/>
    </x:xf>
    <x:xf numFmtId="200" fontId="4" fillId="5" borderId="13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200" fontId="4" fillId="5" borderId="14" xfId="0" applyNumberFormat="1" applyFont="1" applyFill="1" applyBorder="1" applyAlignment="1">
      <x:alignment horizontal="center"/>
    </x:xf>
    <x:xf numFmtId="200" fontId="4" fillId="5" borderId="15" xfId="0" applyNumberFormat="1" applyFont="1" applyFill="1" applyBorder="1" applyAlignment="1">
      <x:alignment horizontal="center"/>
    </x:xf>
    <x:xf numFmtId="200" fontId="4" fillId="5" borderId="16" xfId="0" applyNumberFormat="1" applyFont="1" applyFill="1" applyBorder="1" applyAlignment="1">
      <x:alignment horizontal="center"/>
    </x:xf>
    <x:xf numFmtId="200" fontId="4" fillId="5" borderId="17" xfId="0" applyNumberFormat="1" applyFont="1" applyFill="1" applyBorder="1" applyAlignment="1">
      <x:alignment horizontal="center"/>
    </x:xf>
    <x:xf numFmtId="200" fontId="4" fillId="5" borderId="10" xfId="0" applyNumberFormat="1" applyFont="1" applyFill="1" applyBorder="1" applyAlignment="1">
      <x:alignment horizontal="center" vertical="center"/>
    </x:xf>
    <x:xf numFmtId="200" fontId="4" fillId="5" borderId="11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200" fontId="4" fillId="5" borderId="13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14" xfId="0" applyNumberFormat="1" applyFont="1" applyFill="1" applyBorder="1" applyAlignment="1">
      <x:alignment horizontal="center" vertical="center"/>
    </x:xf>
    <x:xf numFmtId="200" fontId="4" fillId="5" borderId="15" xfId="0" applyNumberFormat="1" applyFont="1" applyFill="1" applyBorder="1" applyAlignment="1">
      <x:alignment horizontal="center" vertical="center"/>
    </x:xf>
    <x:xf numFmtId="200" fontId="4" fillId="5" borderId="16" xfId="0" applyNumberFormat="1" applyFont="1" applyFill="1" applyBorder="1" applyAlignment="1">
      <x:alignment horizontal="center" vertical="center"/>
    </x:xf>
    <x:xf numFmtId="200" fontId="4" fillId="5" borderId="17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0" xfId="0" applyNumberFormat="1" applyFont="1" applyFill="1" applyBorder="1"/>
    <x:xf numFmtId="201" fontId="4" fillId="5" borderId="6" xfId="0" applyNumberFormat="1" applyFont="1" applyFill="1" applyBorder="1"/>
    <x:xf numFmtId="201" fontId="4" fillId="5" borderId="7" xfId="0" applyNumberFormat="1" applyFont="1" applyFill="1" applyBorder="1"/>
    <x:xf numFmtId="201" fontId="4" fillId="5" borderId="8" xfId="0" applyNumberFormat="1" applyFont="1" applyFill="1" applyBorder="1"/>
    <x:xf numFmtId="201" fontId="4" fillId="5" borderId="9" xfId="0" applyNumberFormat="1" applyFont="1" applyFill="1" applyBorder="1"/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7" xfId="0" applyNumberFormat="1" applyFont="1" applyFill="1" applyBorder="1" applyAlignment="1">
      <x:alignment horizontal="center"/>
    </x:xf>
    <x:xf numFmtId="201" fontId="4" fillId="5" borderId="8" xfId="0" applyNumberFormat="1" applyFont="1" applyFill="1" applyBorder="1" applyAlignment="1">
      <x:alignment horizontal="center"/>
    </x:xf>
    <x:xf numFmtId="201" fontId="4" fillId="5" borderId="9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0" xfId="0" applyNumberFormat="1" applyFont="1" applyFill="1" applyBorder="1"/>
    <x:xf numFmtId="201" fontId="4" fillId="5" borderId="11" xfId="0" applyNumberFormat="1" applyFont="1" applyFill="1" applyBorder="1"/>
    <x:xf numFmtId="201" fontId="4" fillId="5" borderId="12" xfId="0" applyNumberFormat="1" applyFont="1" applyFill="1" applyBorder="1"/>
    <x:xf numFmtId="201" fontId="4" fillId="5" borderId="13" xfId="0" applyNumberFormat="1" applyFont="1" applyFill="1" applyBorder="1"/>
    <x:xf numFmtId="201" fontId="4" fillId="5" borderId="1" xfId="0" applyNumberFormat="1" applyFont="1" applyFill="1" applyBorder="1"/>
    <x:xf numFmtId="201" fontId="4" fillId="5" borderId="14" xfId="0" applyNumberFormat="1" applyFont="1" applyFill="1" applyBorder="1"/>
    <x:xf numFmtId="201" fontId="4" fillId="5" borderId="15" xfId="0" applyNumberFormat="1" applyFont="1" applyFill="1" applyBorder="1"/>
    <x:xf numFmtId="201" fontId="4" fillId="5" borderId="16" xfId="0" applyNumberFormat="1" applyFont="1" applyFill="1" applyBorder="1"/>
    <x:xf numFmtId="201" fontId="4" fillId="5" borderId="17" xfId="0" applyNumberFormat="1" applyFont="1" applyFill="1" applyBorder="1"/>
    <x:xf numFmtId="201" fontId="4" fillId="5" borderId="10" xfId="0" applyNumberFormat="1" applyFont="1" applyFill="1" applyBorder="1" applyAlignment="1">
      <x:alignment horizontal="center"/>
    </x:xf>
    <x:xf numFmtId="201" fontId="4" fillId="5" borderId="11" xfId="0" applyNumberFormat="1" applyFont="1" applyFill="1" applyBorder="1" applyAlignment="1">
      <x:alignment horizontal="center"/>
    </x:xf>
    <x:xf numFmtId="201" fontId="4" fillId="5" borderId="12" xfId="0" applyNumberFormat="1" applyFont="1" applyFill="1" applyBorder="1" applyAlignment="1">
      <x:alignment horizontal="center"/>
    </x:xf>
    <x:xf numFmtId="201" fontId="4" fillId="5" borderId="13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/>
    </x:xf>
    <x:xf numFmtId="201" fontId="4" fillId="5" borderId="14" xfId="0" applyNumberFormat="1" applyFont="1" applyFill="1" applyBorder="1" applyAlignment="1">
      <x:alignment horizontal="center"/>
    </x:xf>
    <x:xf numFmtId="201" fontId="4" fillId="5" borderId="15" xfId="0" applyNumberFormat="1" applyFont="1" applyFill="1" applyBorder="1" applyAlignment="1">
      <x:alignment horizontal="center"/>
    </x:xf>
    <x:xf numFmtId="201" fontId="4" fillId="5" borderId="16" xfId="0" applyNumberFormat="1" applyFont="1" applyFill="1" applyBorder="1" applyAlignment="1">
      <x:alignment horizontal="center"/>
    </x:xf>
    <x:xf numFmtId="201" fontId="4" fillId="5" borderId="17" xfId="0" applyNumberFormat="1" applyFont="1" applyFill="1" applyBorder="1" applyAlignment="1">
      <x:alignment horizontal="center"/>
    </x:xf>
    <x:xf numFmtId="201" fontId="4" fillId="5" borderId="10" xfId="0" applyNumberFormat="1" applyFont="1" applyFill="1" applyBorder="1" applyAlignment="1">
      <x:alignment horizontal="center" vertical="center"/>
    </x:xf>
    <x:xf numFmtId="201" fontId="4" fillId="5" borderId="11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201" fontId="4" fillId="5" borderId="13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14" xfId="0" applyNumberFormat="1" applyFont="1" applyFill="1" applyBorder="1" applyAlignment="1">
      <x:alignment horizontal="center" vertical="center"/>
    </x:xf>
    <x:xf numFmtId="201" fontId="4" fillId="5" borderId="15" xfId="0" applyNumberFormat="1" applyFont="1" applyFill="1" applyBorder="1" applyAlignment="1">
      <x:alignment horizontal="center" vertical="center"/>
    </x:xf>
    <x:xf numFmtId="201" fontId="4" fillId="5" borderId="16" xfId="0" applyNumberFormat="1" applyFont="1" applyFill="1" applyBorder="1" applyAlignment="1">
      <x:alignment horizontal="center" vertical="center"/>
    </x:xf>
    <x:xf numFmtId="201" fontId="4" fillId="5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CE2E0"/>
        </x:patternFill>
      </x:fill>
    </x:dxf>
    <x:dxf>
      <x:fill>
        <x:patternFill patternType="solid">
          <x:bgColor rgb="FFFCE2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30f8647a04adb" /><Relationship Type="http://schemas.openxmlformats.org/officeDocument/2006/relationships/theme" Target="/xl/theme/theme1.xml" Id="Rf7dfe24bd370400c" /><Relationship Type="http://schemas.openxmlformats.org/officeDocument/2006/relationships/sharedStrings" Target="/xl/sharedStrings.xml" Id="Rb8813816790a4339" /><Relationship Type="http://schemas.openxmlformats.org/officeDocument/2006/relationships/worksheet" Target="/xl/worksheets/sheet1.xml" Id="R2d4a7c8956cd4e01" /><Relationship Type="http://schemas.openxmlformats.org/officeDocument/2006/relationships/worksheet" Target="/xl/worksheets/sheet2.xml" Id="Ra88328bd3cda4608" /><Relationship Type="http://schemas.openxmlformats.org/officeDocument/2006/relationships/worksheet" Target="/xl/worksheets/sheet3.xml" Id="R84762eb2c1514ebc" /><Relationship Type="http://schemas.openxmlformats.org/officeDocument/2006/relationships/worksheet" Target="/xl/worksheets/sheet4.xml" Id="Rde06a6246a724cea" /><Relationship Type="http://schemas.openxmlformats.org/officeDocument/2006/relationships/worksheet" Target="/xl/worksheets/sheet5.xml" Id="R5d81b908e4ba4852" /><Relationship Type="http://schemas.openxmlformats.org/officeDocument/2006/relationships/worksheet" Target="/xl/worksheets/sheet6.xml" Id="R883c2458543948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8f891aac7344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6ce45899337441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a03c9f3b8cf45ef" /><Relationship Type="http://schemas.openxmlformats.org/officeDocument/2006/relationships/chart" Target="/xl/drawings/charts/chart4.xml" Id="R24b0be21c38044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Risk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Test Projects</c:v>
          </c:tx>
          <c:cat>
            <c:strRef>
              <c:f>'Executive_Dashboard'!$A$19:$A$21</c:f>
              <c:strCache>
                <c:ptCount val="0"/>
              </c:strCache>
            </c:strRef>
          </c:cat>
          <c:val>
            <c:numRef>
              <c:f>'Executive_Dashboard'!$B$19:$B$21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ROC-AUC and PR-AUC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Model</c:v>
          </c:tx>
          <c:cat>
            <c:strRef>
              <c:f>'Model_Performance'!$A$6:$A$9</c:f>
              <c:strCache>
                <c:ptCount val="0"/>
              </c:strCache>
            </c:strRef>
          </c:cat>
          <c:val>
            <c:numRef>
              <c:f>'Model_Performance'!$B$6:$B$9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ROC AUC</c:v>
          </c:tx>
          <c:cat>
            <c:strRef>
              <c:f>'Model_Performance'!$A$6:$A$9</c:f>
              <c:strCache>
                <c:ptCount val="0"/>
              </c:strCache>
            </c:strRef>
          </c:cat>
          <c:val>
            <c:numRef>
              <c:f>'Model_Performance'!$C$6:$C$9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PR AUC</c:v>
          </c:tx>
          <c:cat>
            <c:strRef>
              <c:f>'Model_Performance'!$A$6:$A$9</c:f>
              <c:strCache>
                <c:ptCount val="0"/>
              </c:strCache>
            </c:strRef>
          </c:cat>
          <c:val>
            <c:numRef>
              <c:f>'Model_Performance'!$D$6:$D$9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Cost Overrun Drivers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Importance</c:v>
          </c:tx>
          <c:cat>
            <c:strRef>
              <c:f>'Feature_Drivers'!$A$6:$A$17</c:f>
              <c:strCache>
                <c:ptCount val="0"/>
              </c:strCache>
            </c:strRef>
          </c:cat>
          <c:val>
            <c:numRef>
              <c:f>'Feature_Drivers'!$B$6:$B$17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Schedule Delay Drivers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Importance</c:v>
          </c:tx>
          <c:cat>
            <c:strRef>
              <c:f>'Feature_Drivers'!$F$6:$F$17</c:f>
              <c:strCache>
                <c:ptCount val="0"/>
              </c:strCache>
            </c:strRef>
          </c:cat>
          <c:val>
            <c:numRef>
              <c:f>'Feature_Drivers'!$G$6:$G$17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8f891aac7344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ce45899337441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03c9f3b8cf45ef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b0be21c38044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Metrics" displayName="DataMetrics" ref="A1:B15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ExecutiveRiskBand" displayName="ExecutiveRiskBand" ref="A18:B21" headerRowCount="1">
  <x:tableColumns count="2">
    <x:tableColumn id="1" name="Risk Band"/>
    <x:tableColumn id="2" name="Test Projects"/>
  </x:tableColumns>
  <x:tableStyleInfo name="TableStyleMedium2" showRowStripes="1"/>
</x:table>
</file>

<file path=xl/tables/table3.xml><?xml version="1.0" encoding="utf-8"?>
<x:table xmlns:x="http://schemas.openxmlformats.org/spreadsheetml/2006/main" id="3" name="ExecutiveFindings" displayName="ExecutiveFindings" ref="A34:C39" headerRowCount="1">
  <x:tableColumns count="3">
    <x:tableColumn id="1" name="#"/>
    <x:tableColumn id="2" name="Finding"/>
    <x:tableColumn id="3" name="Evidence"/>
  </x:tableColumns>
  <x:tableStyleInfo name="TableStyleMedium2" showRowStripes="1"/>
</x:table>
</file>

<file path=xl/tables/table4.xml><?xml version="1.0" encoding="utf-8"?>
<x:table xmlns:x="http://schemas.openxmlformats.org/spreadsheetml/2006/main" id="4" name="ExecutiveTopRisk" displayName="ExecutiveTopRisk" ref="A42:G52" headerRowCount="1">
  <x:tableColumns count="7">
    <x:tableColumn id="1" name="Project ID"/>
    <x:tableColumn id="2" name="Project"/>
    <x:tableColumn id="3" name="Band"/>
    <x:tableColumn id="4" name="Overall"/>
    <x:tableColumn id="5" name="Cost"/>
    <x:tableColumn id="6" name="Schedule"/>
    <x:tableColumn id="7" name="Drivers"/>
  </x:tableColumns>
  <x:tableStyleInfo name="TableStyleMedium2" showRowStripes="1"/>
</x:table>
</file>

<file path=xl/tables/table5.xml><?xml version="1.0" encoding="utf-8"?>
<x:table xmlns:x="http://schemas.openxmlformats.org/spreadsheetml/2006/main" id="5" name="PerformanceTable" displayName="PerformanceTable" ref="A5:H9" headerRowCount="1">
  <x:tableColumns count="8">
    <x:tableColumn id="1" name="Target"/>
    <x:tableColumn id="2" name="Model"/>
    <x:tableColumn id="3" name="ROC AUC"/>
    <x:tableColumn id="4" name="PR AUC"/>
    <x:tableColumn id="5" name="Brier"/>
    <x:tableColumn id="6" name="Precision"/>
    <x:tableColumn id="7" name="Recall"/>
    <x:tableColumn id="8" name="F1"/>
  </x:tableColumns>
  <x:tableStyleInfo name="TableStyleMedium2" showRowStripes="1"/>
</x:table>
</file>

<file path=xl/tables/table6.xml><?xml version="1.0" encoding="utf-8"?>
<x:table xmlns:x="http://schemas.openxmlformats.org/spreadsheetml/2006/main" id="6" name="RegressionTestTable" displayName="RegressionTestTable" ref="A25:F29" headerRowCount="1">
  <x:tableColumns count="6">
    <x:tableColumn id="1" name="Target"/>
    <x:tableColumn id="2" name="Model"/>
    <x:tableColumn id="3" name="Split"/>
    <x:tableColumn id="4" name="MAE"/>
    <x:tableColumn id="5" name="RMSE"/>
    <x:tableColumn id="6" name="R²"/>
  </x:tableColumns>
  <x:tableStyleInfo name="TableStyleMedium2" showRowStripes="1"/>
</x:table>
</file>

<file path=xl/tables/table7.xml><?xml version="1.0" encoding="utf-8"?>
<x:table xmlns:x="http://schemas.openxmlformats.org/spreadsheetml/2006/main" id="7" name="CalibrationDashboard" displayName="CalibrationDashboard" ref="A34:E54" headerRowCount="1">
  <x:tableColumns count="5">
    <x:tableColumn id="1" name="Target"/>
    <x:tableColumn id="2" name="Bin"/>
    <x:tableColumn id="3" name="Mean Predicted"/>
    <x:tableColumn id="4" name="Observed Rate"/>
    <x:tableColumn id="5" name="Projects"/>
  </x:tableColumns>
  <x:tableStyleInfo name="TableStyleMedium2" showRowStripes="1"/>
</x:table>
</file>

<file path=xl/tables/table8.xml><?xml version="1.0" encoding="utf-8"?>
<x:table xmlns:x="http://schemas.openxmlformats.org/spreadsheetml/2006/main" id="8" name="ProjectRiskTable" displayName="ProjectRiskTable" ref="A5:K35" headerRowCount="1">
  <x:tableColumns count="11">
    <x:tableColumn id="1" name="Rank"/>
    <x:tableColumn id="2" name="Project ID"/>
    <x:tableColumn id="3" name="Project"/>
    <x:tableColumn id="4" name="Type"/>
    <x:tableColumn id="5" name="Complexity"/>
    <x:tableColumn id="6" name="Owner Decision"/>
    <x:tableColumn id="7" name="Cost Prob."/>
    <x:tableColumn id="8" name="Schedule Prob."/>
    <x:tableColumn id="9" name="Overall Prob."/>
    <x:tableColumn id="10" name="Band"/>
    <x:tableColumn id="11" name="Drivers"/>
  </x:tableColumns>
  <x:tableStyleInfo name="TableStyleMedium2" showRowStripes="1"/>
</x:table>
</file>

<file path=xl/tables/table9.xml><?xml version="1.0" encoding="utf-8"?>
<x:table xmlns:x="http://schemas.openxmlformats.org/spreadsheetml/2006/main" id="9" name="CostFeatureDrivers" displayName="CostFeatureDrivers" ref="A5:C17" headerRowCount="1">
  <x:tableColumns count="3">
    <x:tableColumn id="1" name="Cost Feature"/>
    <x:tableColumn id="2" name="Importance"/>
    <x:tableColumn id="3" name="Std"/>
  </x:tableColumns>
  <x:tableStyleInfo name="TableStyleMedium2" showRowStripes="1"/>
</x:table>
</file>

<file path=xl/tables/table10.xml><?xml version="1.0" encoding="utf-8"?>
<x:table xmlns:x="http://schemas.openxmlformats.org/spreadsheetml/2006/main" id="10" name="ScheduleFeatureDrivers" displayName="ScheduleFeatureDrivers" ref="F5:H17" headerRowCount="1">
  <x:tableColumns count="3">
    <x:tableColumn id="1" name="Schedule Feature"/>
    <x:tableColumn id="2" name="Importance"/>
    <x:tableColumn id="3" name="Std"/>
  </x:tableColumns>
  <x:tableStyleInfo name="TableStyleMedium2" showRowStripes="1"/>
</x:table>
</file>

<file path=xl/tables/table11.xml><?xml version="1.0" encoding="utf-8"?>
<x:table xmlns:x="http://schemas.openxmlformats.org/spreadsheetml/2006/main" id="11" name="ShareSources" displayName="ShareSources" ref="A5:D11" headerRowCount="1">
  <x:tableColumns count="4">
    <x:tableColumn id="1" name="Source Type"/>
    <x:tableColumn id="2" name="Source"/>
    <x:tableColumn id="3" name="Location / URL"/>
    <x:tableColumn id="4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e769865ac249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c2da1950dc74885" /><Relationship Type="http://schemas.openxmlformats.org/officeDocument/2006/relationships/table" Target="/xl/tables/table2.xml" Id="R23aff1a113e94b8a" /><Relationship Type="http://schemas.openxmlformats.org/officeDocument/2006/relationships/table" Target="/xl/tables/table3.xml" Id="Rb85cb501a07243c1" /><Relationship Type="http://schemas.openxmlformats.org/officeDocument/2006/relationships/table" Target="/xl/tables/table4.xml" Id="Rd82d87487bdc48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81b8c06c8ca45ba" /><Relationship Type="http://schemas.openxmlformats.org/officeDocument/2006/relationships/table" Target="/xl/tables/table5.xml" Id="R3bd0cc87c36346b5" /><Relationship Type="http://schemas.openxmlformats.org/officeDocument/2006/relationships/table" Target="/xl/tables/table6.xml" Id="R431215b7d6404b11" /><Relationship Type="http://schemas.openxmlformats.org/officeDocument/2006/relationships/table" Target="/xl/tables/table7.xml" Id="R52268ffd621941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f29bf7e73f104b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b116658cbea74e56" /><Relationship Type="http://schemas.openxmlformats.org/officeDocument/2006/relationships/table" Target="/xl/tables/table9.xml" Id="R42d4389a44364802" /><Relationship Type="http://schemas.openxmlformats.org/officeDocument/2006/relationships/table" Target="/xl/tables/table10.xml" Id="R6d467e81471e48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e7276ede1cde48c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Metric</x:v>
      </x:c>
      <x:c r="B1" s="6" t="str">
        <x:v>Value</x:v>
      </x:c>
    </x:row>
    <x:row r="2">
      <x:c r="A2" t="str">
        <x:v>Train Projects</x:v>
      </x:c>
      <x:c r="B2" t="n">
        <x:v>1577</x:v>
      </x:c>
    </x:row>
    <x:row r="3">
      <x:c r="A3" t="str">
        <x:v>Validation Projects</x:v>
      </x:c>
      <x:c r="B3" t="n">
        <x:v>349</x:v>
      </x:c>
    </x:row>
    <x:row r="4">
      <x:c r="A4" t="str">
        <x:v>Test Projects</x:v>
      </x:c>
      <x:c r="B4" t="n">
        <x:v>436</x:v>
      </x:c>
    </x:row>
    <x:row r="5">
      <x:c r="A5" t="str">
        <x:v>Cost ROC-AUC</x:v>
      </x:c>
      <x:c r="B5" t="n">
        <x:v>0.8990990990990991</x:v>
      </x:c>
    </x:row>
    <x:row r="6">
      <x:c r="A6" t="str">
        <x:v>Cost PR-AUC</x:v>
      </x:c>
      <x:c r="B6" t="n">
        <x:v>0.7742783234536805</x:v>
      </x:c>
    </x:row>
    <x:row r="7">
      <x:c r="A7" t="str">
        <x:v>Cost Precision</x:v>
      </x:c>
      <x:c r="B7" t="n">
        <x:v>0.625</x:v>
      </x:c>
    </x:row>
    <x:row r="8">
      <x:c r="A8" t="str">
        <x:v>Cost Recall</x:v>
      </x:c>
      <x:c r="B8" t="n">
        <x:v>0.8108108108108109</x:v>
      </x:c>
    </x:row>
    <x:row r="9">
      <x:c r="A9" t="str">
        <x:v>Schedule ROC-AUC</x:v>
      </x:c>
      <x:c r="B9" t="n">
        <x:v>0.7560797342192692</x:v>
      </x:c>
    </x:row>
    <x:row r="10">
      <x:c r="A10" t="str">
        <x:v>Schedule PR-AUC</x:v>
      </x:c>
      <x:c r="B10" t="n">
        <x:v>0.5236284143171703</x:v>
      </x:c>
    </x:row>
    <x:row r="11">
      <x:c r="A11" t="str">
        <x:v>Schedule Precision</x:v>
      </x:c>
      <x:c r="B11" t="n">
        <x:v>0.52</x:v>
      </x:c>
    </x:row>
    <x:row r="12">
      <x:c r="A12" t="str">
        <x:v>Schedule Recall</x:v>
      </x:c>
      <x:c r="B12" t="n">
        <x:v>0.45348837209302323</x:v>
      </x:c>
    </x:row>
    <x:row r="13">
      <x:c r="A13" t="str">
        <x:v>Red Test Projects</x:v>
      </x:c>
      <x:c r="B13" t="n">
        <x:v>188</x:v>
      </x:c>
    </x:row>
    <x:row r="14">
      <x:c r="A14" t="str">
        <x:v>Yellow Test Projects</x:v>
      </x:c>
      <x:c r="B14" t="n">
        <x:v>138</x:v>
      </x:c>
    </x:row>
    <x:row r="15">
      <x:c r="A15" t="str">
        <x:v>Green Test Projects</x:v>
      </x:c>
      <x:c r="B15" t="n">
        <x:v>110</x:v>
      </x:c>
    </x:row>
  </x:sheetData>
  <x:pageMargins left="0.7" right="0.7" top="0.75" bottom="0.75" header="0.3" footer="0.3"/>
  <x:tableParts count="1">
    <x:tablePart xmlns:r="http://schemas.openxmlformats.org/officeDocument/2006/relationships" r:id="R4de769865ac249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50" hidden="0" customWidth="1"/>
  </x:cols>
  <x:sheetData>
    <x:row r="1" ht="34" customHeight="1">
      <x:c r="A1" s="14" t="str">
        <x:v>Predictive Construction Project Overrun Model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21" t="str">
        <x:v>Executive early-warning view for cost overruns and schedule delays. All projects and results are synthetic.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5">
      <x:c r="A5" s="54" t="n">
        <x:f>Data_Metrics!B5</x:f>
        <x:v>0.8990990990990991</x:v>
      </x:c>
      <x:c r="B5" s="55"/>
      <x:c r="C5" s="56"/>
      <x:c r="D5" s="54" t="n">
        <x:f>Data_Metrics!B6</x:f>
        <x:v>0.7742783234536805</x:v>
      </x:c>
      <x:c r="E5" s="55"/>
      <x:c r="F5" s="56"/>
      <x:c r="G5" s="122" t="n">
        <x:f>Data_Metrics!B7</x:f>
        <x:v>0.625</x:v>
      </x:c>
      <x:c r="H5" s="123"/>
      <x:c r="I5" s="124"/>
      <x:c r="J5" s="122" t="n">
        <x:f>Data_Metrics!B8</x:f>
        <x:v>0.8108108108108109</x:v>
      </x:c>
      <x:c r="K5" s="123"/>
      <x:c r="L5" s="124"/>
    </x:row>
    <x:row r="6">
      <x:c r="A6" s="57"/>
      <x:c r="B6" s="58"/>
      <x:c r="C6" s="59"/>
      <x:c r="D6" s="57"/>
      <x:c r="E6" s="58"/>
      <x:c r="F6" s="59"/>
      <x:c r="G6" s="125"/>
      <x:c r="H6" s="126"/>
      <x:c r="I6" s="127"/>
      <x:c r="J6" s="125"/>
      <x:c r="K6" s="126"/>
      <x:c r="L6" s="127"/>
    </x:row>
    <x:row r="7">
      <x:c r="A7" s="57"/>
      <x:c r="B7" s="58"/>
      <x:c r="C7" s="59"/>
      <x:c r="D7" s="57"/>
      <x:c r="E7" s="58"/>
      <x:c r="F7" s="59"/>
      <x:c r="G7" s="125"/>
      <x:c r="H7" s="126"/>
      <x:c r="I7" s="127"/>
      <x:c r="J7" s="125"/>
      <x:c r="K7" s="126"/>
      <x:c r="L7" s="127"/>
    </x:row>
    <x:row r="8">
      <x:c r="A8" s="60"/>
      <x:c r="B8" s="61"/>
      <x:c r="C8" s="62"/>
      <x:c r="D8" s="60"/>
      <x:c r="E8" s="61"/>
      <x:c r="F8" s="62"/>
      <x:c r="G8" s="128"/>
      <x:c r="H8" s="129"/>
      <x:c r="I8" s="130"/>
      <x:c r="J8" s="128"/>
      <x:c r="K8" s="129"/>
      <x:c r="L8" s="130"/>
    </x:row>
    <x:row r="9">
      <x:c r="A9" s="101" t="str">
        <x:v>Cost ROC-AUC</x:v>
      </x:c>
      <x:c r="B9" s="101"/>
      <x:c r="C9" s="101"/>
      <x:c r="D9" s="101" t="str">
        <x:v>Cost PR-AUC</x:v>
      </x:c>
      <x:c r="E9" s="101"/>
      <x:c r="F9" s="101"/>
      <x:c r="G9" s="101" t="str">
        <x:v>Cost Precision</x:v>
      </x:c>
      <x:c r="H9" s="101"/>
      <x:c r="I9" s="101"/>
      <x:c r="J9" s="101" t="str">
        <x:v>Cost Recall</x:v>
      </x:c>
      <x:c r="K9" s="101"/>
      <x:c r="L9" s="101"/>
    </x:row>
    <x:row r="11">
      <x:c r="A11" s="54" t="n">
        <x:f>Data_Metrics!B9</x:f>
        <x:v>0.7560797342192692</x:v>
      </x:c>
      <x:c r="B11" s="55"/>
      <x:c r="C11" s="56"/>
      <x:c r="D11" s="54" t="n">
        <x:f>Data_Metrics!B10</x:f>
        <x:v>0.5236284143171703</x:v>
      </x:c>
      <x:c r="E11" s="55"/>
      <x:c r="F11" s="56"/>
      <x:c r="G11" s="122" t="n">
        <x:f>Data_Metrics!B11</x:f>
        <x:v>0.52</x:v>
      </x:c>
      <x:c r="H11" s="123"/>
      <x:c r="I11" s="124"/>
      <x:c r="J11" s="122" t="n">
        <x:f>Data_Metrics!B12</x:f>
        <x:v>0.45348837209302323</x:v>
      </x:c>
      <x:c r="K11" s="123"/>
      <x:c r="L11" s="124"/>
    </x:row>
    <x:row r="12">
      <x:c r="A12" s="57"/>
      <x:c r="B12" s="58"/>
      <x:c r="C12" s="59"/>
      <x:c r="D12" s="57"/>
      <x:c r="E12" s="58"/>
      <x:c r="F12" s="59"/>
      <x:c r="G12" s="125"/>
      <x:c r="H12" s="126"/>
      <x:c r="I12" s="127"/>
      <x:c r="J12" s="125"/>
      <x:c r="K12" s="126"/>
      <x:c r="L12" s="127"/>
    </x:row>
    <x:row r="13">
      <x:c r="A13" s="57"/>
      <x:c r="B13" s="58"/>
      <x:c r="C13" s="59"/>
      <x:c r="D13" s="57"/>
      <x:c r="E13" s="58"/>
      <x:c r="F13" s="59"/>
      <x:c r="G13" s="125"/>
      <x:c r="H13" s="126"/>
      <x:c r="I13" s="127"/>
      <x:c r="J13" s="125"/>
      <x:c r="K13" s="126"/>
      <x:c r="L13" s="127"/>
    </x:row>
    <x:row r="14">
      <x:c r="A14" s="60"/>
      <x:c r="B14" s="61"/>
      <x:c r="C14" s="62"/>
      <x:c r="D14" s="60"/>
      <x:c r="E14" s="61"/>
      <x:c r="F14" s="62"/>
      <x:c r="G14" s="128"/>
      <x:c r="H14" s="129"/>
      <x:c r="I14" s="130"/>
      <x:c r="J14" s="128"/>
      <x:c r="K14" s="129"/>
      <x:c r="L14" s="130"/>
    </x:row>
    <x:row r="15">
      <x:c r="A15" s="101" t="str">
        <x:v>Schedule ROC-AUC</x:v>
      </x:c>
      <x:c r="B15" s="101"/>
      <x:c r="C15" s="101"/>
      <x:c r="D15" s="101" t="str">
        <x:v>Schedule PR-AUC</x:v>
      </x:c>
      <x:c r="E15" s="101"/>
      <x:c r="F15" s="101"/>
      <x:c r="G15" s="101" t="str">
        <x:v>Schedule Precision</x:v>
      </x:c>
      <x:c r="H15" s="101"/>
      <x:c r="I15" s="101"/>
      <x:c r="J15" s="101" t="str">
        <x:v>Schedule Recall</x:v>
      </x:c>
      <x:c r="K15" s="101"/>
      <x:c r="L15" s="101"/>
    </x:row>
    <x:row r="18">
      <x:c r="A18" s="6" t="str">
        <x:v>Risk Band</x:v>
      </x:c>
      <x:c r="B18" s="6" t="str">
        <x:v>Test Projects</x:v>
      </x:c>
    </x:row>
    <x:row r="19">
      <x:c r="A19" s="159" t="str">
        <x:v>Red</x:v>
      </x:c>
      <x:c r="B19" t="n">
        <x:f>Data_Metrics!B13</x:f>
        <x:v>188</x:v>
      </x:c>
    </x:row>
    <x:row r="20">
      <x:c r="A20" s="163" t="str">
        <x:v>Yellow</x:v>
      </x:c>
      <x:c r="B20" t="n">
        <x:f>Data_Metrics!B14</x:f>
        <x:v>138</x:v>
      </x:c>
    </x:row>
    <x:row r="21">
      <x:c r="A21" s="167" t="str">
        <x:v>Green</x:v>
      </x:c>
      <x:c r="B21" t="n">
        <x:f>Data_Metrics!B15</x:f>
        <x:v>110</x:v>
      </x:c>
    </x:row>
    <x:row r="34">
      <x:c r="A34" s="6" t="str">
        <x:v>#</x:v>
      </x:c>
      <x:c r="B34" s="6" t="str">
        <x:v>Finding</x:v>
      </x:c>
      <x:c r="C34" s="6" t="str">
        <x:v>Evidence</x:v>
      </x:c>
    </x:row>
    <x:row r="35">
      <x:c r="A35" s="170" t="str">
        <x:v>1</x:v>
      </x:c>
      <x:c r="B35" s="170" t="str">
        <x:v>Cost prediction</x:v>
      </x:c>
      <x:c r="C35" s="170" t="str">
        <x:v>The cost-overrun champion achieved ROC-AUC 0.899 and PR-AUC 0.774 on the 2025 test set.</x:v>
      </x:c>
    </x:row>
    <x:row r="36">
      <x:c r="A36" s="170" t="str">
        <x:v>2</x:v>
      </x:c>
      <x:c r="B36" s="170" t="str">
        <x:v>Schedule prediction</x:v>
      </x:c>
      <x:c r="C36" s="170" t="str">
        <x:v>Schedule ROC-AUC decreased to 0.756 on the 2025 test set, creating a model-monitoring priority.</x:v>
      </x:c>
    </x:row>
    <x:row r="37">
      <x:c r="A37" s="170" t="str">
        <x:v>3</x:v>
      </x:c>
      <x:c r="B37" s="170" t="str">
        <x:v>Portfolio screening</x:v>
      </x:c>
      <x:c r="C37" s="170" t="str">
        <x:v>The test set contains 188 Red, 138 Yellow, and 110 Green projects.</x:v>
      </x:c>
    </x:row>
    <x:row r="38">
      <x:c r="A38" s="170" t="str">
        <x:v>4</x:v>
      </x:c>
      <x:c r="B38" s="170" t="str">
        <x:v>Human review</x:v>
      </x:c>
      <x:c r="C38" s="170" t="str">
        <x:v>Predictions identify review priority; they do not authorize autonomous project decisions.</x:v>
      </x:c>
    </x:row>
    <x:row r="39">
      <x:c r="A39" s="170" t="str">
        <x:v>5</x:v>
      </x:c>
      <x:c r="B39" s="170" t="str">
        <x:v>Feature lineage</x:v>
      </x:c>
      <x:c r="C39" s="170" t="str">
        <x:v>The model combines Project 1 cost/schedule controls with Project 2 RFI and change-workflow indicators.</x:v>
      </x:c>
    </x:row>
    <x:row r="42">
      <x:c r="A42" s="6" t="str">
        <x:v>Project ID</x:v>
      </x:c>
      <x:c r="B42" s="6" t="str">
        <x:v>Project</x:v>
      </x:c>
      <x:c r="C42" s="6" t="str">
        <x:v>Band</x:v>
      </x:c>
      <x:c r="D42" s="6" t="str">
        <x:v>Overall</x:v>
      </x:c>
      <x:c r="E42" s="6" t="str">
        <x:v>Cost</x:v>
      </x:c>
      <x:c r="F42" s="6" t="str">
        <x:v>Schedule</x:v>
      </x:c>
      <x:c r="G42" s="6" t="str">
        <x:v>Drivers</x:v>
      </x:c>
    </x:row>
    <x:row r="43">
      <x:c r="A43" s="170" t="str">
        <x:v>PRJ3-01418</x:v>
      </x:c>
      <x:c r="B43" s="170" t="str">
        <x:v>Gateway Bridge Program 1418</x:v>
      </x:c>
      <x:c r="C43" s="170" t="str">
        <x:v>Red</x:v>
      </x:c>
      <x:c r="D43" s="172" t="n">
        <x:v>0.9984539917560431</x:v>
      </x:c>
      <x:c r="E43" s="172" t="n">
        <x:v>0.9399010320458105</x:v>
      </x:c>
      <x:c r="F43" s="172" t="n">
        <x:v>0.974275627409519</x:v>
      </x:c>
      <x:c r="G43" s="170" t="str">
        <x:v>Slow change approval; Workflow risk score; Overdue RFI backlog</x:v>
      </x:c>
    </x:row>
    <x:row r="44">
      <x:c r="A44" s="170" t="str">
        <x:v>PRJ3-01705</x:v>
      </x:c>
      <x:c r="B44" s="170" t="str">
        <x:v>Granite Urban Village 1705</x:v>
      </x:c>
      <x:c r="C44" s="170" t="str">
        <x:v>Red</x:v>
      </x:c>
      <x:c r="D44" s="172" t="n">
        <x:v>0.9975352206410704</x:v>
      </x:c>
      <x:c r="E44" s="172" t="n">
        <x:v>0.8906580948302405</x:v>
      </x:c>
      <x:c r="F44" s="172" t="n">
        <x:v>0.9774580536611016</x:v>
      </x:c>
      <x:c r="G44" s="170" t="str">
        <x:v>Overdue RFI backlog; Slow change approval; Workflow risk score</x:v>
      </x:c>
    </x:row>
    <x:row r="45">
      <x:c r="A45" s="170" t="str">
        <x:v>PRJ3-00034</x:v>
      </x:c>
      <x:c r="B45" s="170" t="str">
        <x:v>Horizon Neighborhood 34</x:v>
      </x:c>
      <x:c r="C45" s="170" t="str">
        <x:v>Red</x:v>
      </x:c>
      <x:c r="D45" s="172" t="n">
        <x:v>0.9936818931078062</x:v>
      </x:c>
      <x:c r="E45" s="172" t="n">
        <x:v>0.8029700587306873</x:v>
      </x:c>
      <x:c r="F45" s="172" t="n">
        <x:v>0.9679332651093985</x:v>
      </x:c>
      <x:c r="G45" s="170" t="str">
        <x:v>Overdue RFI backlog; Workflow risk score; Slow RFI response</x:v>
      </x:c>
    </x:row>
    <x:row r="46">
      <x:c r="A46" s="170" t="str">
        <x:v>PRJ3-01716</x:v>
      </x:c>
      <x:c r="B46" s="170" t="str">
        <x:v>Redwood Logistics Center 1716</x:v>
      </x:c>
      <x:c r="C46" s="170" t="str">
        <x:v>Red</x:v>
      </x:c>
      <x:c r="D46" s="172" t="n">
        <x:v>0.9924184482775115</x:v>
      </x:c>
      <x:c r="E46" s="172" t="n">
        <x:v>0.9164024836914005</x:v>
      </x:c>
      <x:c r="F46" s="172" t="n">
        <x:v>0.9093088879040226</x:v>
      </x:c>
      <x:c r="G46" s="170" t="str">
        <x:v>Overdue RFI backlog; Slow RFI response; Workflow risk score</x:v>
      </x:c>
    </x:row>
    <x:row r="47">
      <x:c r="A47" s="170" t="str">
        <x:v>PRJ3-00702</x:v>
      </x:c>
      <x:c r="B47" s="170" t="str">
        <x:v>Aspen Corporate Center 702</x:v>
      </x:c>
      <x:c r="C47" s="170" t="str">
        <x:v>Red</x:v>
      </x:c>
      <x:c r="D47" s="172" t="n">
        <x:v>0.9911013427120609</x:v>
      </x:c>
      <x:c r="E47" s="172" t="n">
        <x:v>0.9178694043852336</x:v>
      </x:c>
      <x:c r="F47" s="172" t="n">
        <x:v>0.891652346834567</x:v>
      </x:c>
      <x:c r="G47" s="170" t="str">
        <x:v>Overdue RFI backlog; Slow change approval; Slow RFI response</x:v>
      </x:c>
    </x:row>
    <x:row r="48">
      <x:c r="A48" s="170" t="str">
        <x:v>PRJ3-01925</x:v>
      </x:c>
      <x:c r="B48" s="170" t="str">
        <x:v>Northstar Highway Improvements 1925</x:v>
      </x:c>
      <x:c r="C48" s="170" t="str">
        <x:v>Red</x:v>
      </x:c>
      <x:c r="D48" s="172" t="n">
        <x:v>0.9904523178137955</x:v>
      </x:c>
      <x:c r="E48" s="172" t="n">
        <x:v>0.8809701386231231</x:v>
      </x:c>
      <x:c r="F48" s="172" t="n">
        <x:v>0.9197875047844151</x:v>
      </x:c>
      <x:c r="G48" s="170" t="str">
        <x:v>Slow change approval; Workflow risk score; Slow RFI response</x:v>
      </x:c>
    </x:row>
    <x:row r="49">
      <x:c r="A49" s="170" t="str">
        <x:v>PRJ3-01981</x:v>
      </x:c>
      <x:c r="B49" s="170" t="str">
        <x:v>Pioneer Urban Village 1981</x:v>
      </x:c>
      <x:c r="C49" s="170" t="str">
        <x:v>Red</x:v>
      </x:c>
      <x:c r="D49" s="172" t="n">
        <x:v>0.9884050027299504</x:v>
      </x:c>
      <x:c r="E49" s="172" t="n">
        <x:v>0.9408283367285022</x:v>
      </x:c>
      <x:c r="F49" s="172" t="n">
        <x:v>0.8040447635070153</x:v>
      </x:c>
      <x:c r="G49" s="170" t="str">
        <x:v>Overdue RFI backlog; Slow RFI response; Workflow risk score</x:v>
      </x:c>
    </x:row>
    <x:row r="50">
      <x:c r="A50" s="170" t="str">
        <x:v>PRJ3-01492</x:v>
      </x:c>
      <x:c r="B50" s="170" t="str">
        <x:v>Horizon Education Center 1492</x:v>
      </x:c>
      <x:c r="C50" s="170" t="str">
        <x:v>Red</x:v>
      </x:c>
      <x:c r="D50" s="172" t="n">
        <x:v>0.9861427080079596</x:v>
      </x:c>
      <x:c r="E50" s="172" t="n">
        <x:v>0.9211636985505067</x:v>
      </x:c>
      <x:c r="F50" s="172" t="n">
        <x:v>0.824227015508608</x:v>
      </x:c>
      <x:c r="G50" s="170" t="str">
        <x:v>Overdue RFI backlog; Low CPI; Low SPI</x:v>
      </x:c>
    </x:row>
    <x:row r="51">
      <x:c r="A51" s="170" t="str">
        <x:v>PRJ3-01752</x:v>
      </x:c>
      <x:c r="B51" s="170" t="str">
        <x:v>Lakeview Highway Improvements 1752</x:v>
      </x:c>
      <x:c r="C51" s="170" t="str">
        <x:v>Red</x:v>
      </x:c>
      <x:c r="D51" s="172" t="n">
        <x:v>0.9849326455536871</x:v>
      </x:c>
      <x:c r="E51" s="172" t="n">
        <x:v>0.8706742209909266</x:v>
      </x:c>
      <x:c r="F51" s="172" t="n">
        <x:v>0.8834930316154844</x:v>
      </x:c>
      <x:c r="G51" s="170" t="str">
        <x:v>Overdue RFI backlog; Low CPI; Low SPI</x:v>
      </x:c>
    </x:row>
    <x:row r="52">
      <x:c r="A52" s="170" t="str">
        <x:v>PRJ3-02338</x:v>
      </x:c>
      <x:c r="B52" s="170" t="str">
        <x:v>Riverside Neighborhood 2338</x:v>
      </x:c>
      <x:c r="C52" s="170" t="str">
        <x:v>Red</x:v>
      </x:c>
      <x:c r="D52" s="172" t="n">
        <x:v>0.9820553870033367</x:v>
      </x:c>
      <x:c r="E52" s="172" t="n">
        <x:v>0.7454881429490665</x:v>
      </x:c>
      <x:c r="F52" s="172" t="n">
        <x:v>0.9294939999865226</x:v>
      </x:c>
      <x:c r="G52" s="170" t="str">
        <x:v>Overdue RFI backlog; Slow change approval; Slow RFI response</x:v>
      </x:c>
    </x:row>
  </x:sheetData>
  <x:mergeCells>
    <x:mergeCell ref="A1:N1"/>
    <x:mergeCell ref="A2:N3"/>
    <x:mergeCell ref="A5:C8"/>
    <x:mergeCell ref="A9:C9"/>
    <x:mergeCell ref="D5:F8"/>
    <x:mergeCell ref="D9:F9"/>
    <x:mergeCell ref="G5:I8"/>
    <x:mergeCell ref="G9:I9"/>
    <x:mergeCell ref="J5:L8"/>
    <x:mergeCell ref="J9:L9"/>
    <x:mergeCell ref="A11:C14"/>
    <x:mergeCell ref="A15:C15"/>
    <x:mergeCell ref="D11:F14"/>
    <x:mergeCell ref="D15:F15"/>
    <x:mergeCell ref="G11:I14"/>
    <x:mergeCell ref="G15:I15"/>
    <x:mergeCell ref="J11:L14"/>
    <x:mergeCell ref="J15:L15"/>
  </x:mergeCells>
  <x:conditionalFormatting sqref="C43:C52">
    <x:cfRule type="expression" dxfId="0" priority="1">
      <x:formula>C43="Red"</x:formula>
    </x:cfRule>
  </x:conditionalFormatting>
  <x:pageMargins left="0.7" right="0.7" top="0.75" bottom="0.75" header="0.3" footer="0.3"/>
  <x:drawing xmlns:r="http://schemas.openxmlformats.org/officeDocument/2006/relationships" r:id="Rac2da1950dc74885"/>
  <x:tableParts count="3">
    <x:tablePart xmlns:r="http://schemas.openxmlformats.org/officeDocument/2006/relationships" r:id="R23aff1a113e94b8a"/>
    <x:tablePart xmlns:r="http://schemas.openxmlformats.org/officeDocument/2006/relationships" r:id="Rb85cb501a07243c1"/>
    <x:tablePart xmlns:r="http://schemas.openxmlformats.org/officeDocument/2006/relationships" r:id="Rd82d87487bdc48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14" t="str">
        <x:v>Model Performance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21" t="str">
        <x:v>Validation selects champions and thresholds; test measures temporal generalization.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5">
      <x:c r="A5" s="6" t="str">
        <x:v>Target</x:v>
      </x:c>
      <x:c r="B5" s="6" t="str">
        <x:v>Model</x:v>
      </x:c>
      <x:c r="C5" s="6" t="str">
        <x:v>ROC AUC</x:v>
      </x:c>
      <x:c r="D5" s="6" t="str">
        <x:v>PR AUC</x:v>
      </x:c>
      <x:c r="E5" s="6" t="str">
        <x:v>Brier</x:v>
      </x:c>
      <x:c r="F5" s="6" t="str">
        <x:v>Precision</x:v>
      </x:c>
      <x:c r="G5" s="6" t="str">
        <x:v>Recall</x:v>
      </x:c>
      <x:c r="H5" s="6" t="str">
        <x:v>F1</x:v>
      </x:c>
    </x:row>
    <x:row r="6">
      <x:c r="A6" s="170" t="str">
        <x:v>Cost_Overrun_Flag</x:v>
      </x:c>
      <x:c r="B6" s="170" t="str">
        <x:v>Logistic Regression</x:v>
      </x:c>
      <x:c r="C6" s="174" t="n">
        <x:v>0.8903950103950105</x:v>
      </x:c>
      <x:c r="D6" s="174" t="n">
        <x:v>0.7601465800860796</x:v>
      </x:c>
      <x:c r="E6" s="174" t="n">
        <x:v>0.13315623758206582</x:v>
      </x:c>
      <x:c r="F6" s="174" t="n">
        <x:v>0.6013071895424836</x:v>
      </x:c>
      <x:c r="G6" s="174" t="n">
        <x:v>0.8288288288288288</x:v>
      </x:c>
      <x:c r="H6" s="174" t="n">
        <x:v>0.696969696969697</x:v>
      </x:c>
    </x:row>
    <x:row r="7">
      <x:c r="A7" s="170" t="str">
        <x:v>Cost_Overrun_Flag</x:v>
      </x:c>
      <x:c r="B7" s="170" t="str">
        <x:v>Random Forest</x:v>
      </x:c>
      <x:c r="C7" s="174" t="n">
        <x:v>0.8990990990990991</x:v>
      </x:c>
      <x:c r="D7" s="174" t="n">
        <x:v>0.7742783234536805</x:v>
      </x:c>
      <x:c r="E7" s="174" t="n">
        <x:v>0.12286356694121951</x:v>
      </x:c>
      <x:c r="F7" s="174" t="n">
        <x:v>0.625</x:v>
      </x:c>
      <x:c r="G7" s="174" t="n">
        <x:v>0.8108108108108109</x:v>
      </x:c>
      <x:c r="H7" s="174" t="n">
        <x:v>0.7058823529411765</x:v>
      </x:c>
    </x:row>
    <x:row r="8">
      <x:c r="A8" s="170" t="str">
        <x:v>Schedule_Delay_Flag</x:v>
      </x:c>
      <x:c r="B8" s="170" t="str">
        <x:v>Logistic Regression</x:v>
      </x:c>
      <x:c r="C8" s="174" t="n">
        <x:v>0.7560797342192692</x:v>
      </x:c>
      <x:c r="D8" s="174" t="n">
        <x:v>0.5236284143171703</x:v>
      </x:c>
      <x:c r="E8" s="174" t="n">
        <x:v>0.18310684769783422</x:v>
      </x:c>
      <x:c r="F8" s="174" t="n">
        <x:v>0.52</x:v>
      </x:c>
      <x:c r="G8" s="174" t="n">
        <x:v>0.45348837209302323</x:v>
      </x:c>
      <x:c r="H8" s="174" t="n">
        <x:v>0.484472049689441</x:v>
      </x:c>
    </x:row>
    <x:row r="9">
      <x:c r="A9" s="170" t="str">
        <x:v>Schedule_Delay_Flag</x:v>
      </x:c>
      <x:c r="B9" s="170" t="str">
        <x:v>Random Forest</x:v>
      </x:c>
      <x:c r="C9" s="174" t="n">
        <x:v>0.7528239202657807</x:v>
      </x:c>
      <x:c r="D9" s="174" t="n">
        <x:v>0.48804590468111586</x:v>
      </x:c>
      <x:c r="E9" s="174" t="n">
        <x:v>0.1584195438230468</x:v>
      </x:c>
      <x:c r="F9" s="174" t="n">
        <x:v>0.3828125</x:v>
      </x:c>
      <x:c r="G9" s="174" t="n">
        <x:v>0.5697674418604651</x:v>
      </x:c>
      <x:c r="H9" s="174" t="n">
        <x:v>0.45794392523364486</x:v>
      </x:c>
    </x:row>
    <x:row r="25">
      <x:c r="A25" s="6" t="str">
        <x:v>Target</x:v>
      </x:c>
      <x:c r="B25" s="6" t="str">
        <x:v>Model</x:v>
      </x:c>
      <x:c r="C25" s="6" t="str">
        <x:v>Split</x:v>
      </x:c>
      <x:c r="D25" s="6" t="str">
        <x:v>MAE</x:v>
      </x:c>
      <x:c r="E25" s="6" t="str">
        <x:v>RMSE</x:v>
      </x:c>
      <x:c r="F25" s="6" t="str">
        <x:v>R²</x:v>
      </x:c>
    </x:row>
    <x:row r="26">
      <x:c r="A26" s="170" t="str">
        <x:v>Final_Cost_Overrun_Pct</x:v>
      </x:c>
      <x:c r="B26" s="170" t="str">
        <x:v>Ridge Regression</x:v>
      </x:c>
      <x:c r="C26" s="170" t="str">
        <x:v>Test</x:v>
      </x:c>
      <x:c r="D26" s="174" t="n">
        <x:v>0.032119134032086986</x:v>
      </x:c>
      <x:c r="E26" s="174" t="n">
        <x:v>0.04074091905591144</x:v>
      </x:c>
      <x:c r="F26" s="174" t="n">
        <x:v>0.5200199968969929</x:v>
      </x:c>
    </x:row>
    <x:row r="27">
      <x:c r="A27" s="170" t="str">
        <x:v>Final_Cost_Overrun_Pct</x:v>
      </x:c>
      <x:c r="B27" s="170" t="str">
        <x:v>Random Forest Regressor</x:v>
      </x:c>
      <x:c r="C27" s="170" t="str">
        <x:v>Test</x:v>
      </x:c>
      <x:c r="D27" s="174" t="n">
        <x:v>0.03245901993026378</x:v>
      </x:c>
      <x:c r="E27" s="174" t="n">
        <x:v>0.040973284231740154</x:v>
      </x:c>
      <x:c r="F27" s="174" t="n">
        <x:v>0.5145292668395652</x:v>
      </x:c>
    </x:row>
    <x:row r="28">
      <x:c r="A28" s="170" t="str">
        <x:v>Final_Schedule_Delay_Days</x:v>
      </x:c>
      <x:c r="B28" s="170" t="str">
        <x:v>Ridge Regression</x:v>
      </x:c>
      <x:c r="C28" s="170" t="str">
        <x:v>Test</x:v>
      </x:c>
      <x:c r="D28" s="174" t="n">
        <x:v>15.528141087689615</x:v>
      </x:c>
      <x:c r="E28" s="174" t="n">
        <x:v>19.498591302780397</x:v>
      </x:c>
      <x:c r="F28" s="174" t="n">
        <x:v>0.29390568083490687</x:v>
      </x:c>
    </x:row>
    <x:row r="29">
      <x:c r="A29" s="170" t="str">
        <x:v>Final_Schedule_Delay_Days</x:v>
      </x:c>
      <x:c r="B29" s="170" t="str">
        <x:v>Random Forest Regressor</x:v>
      </x:c>
      <x:c r="C29" s="170" t="str">
        <x:v>Test</x:v>
      </x:c>
      <x:c r="D29" s="174" t="n">
        <x:v>15.403008960857107</x:v>
      </x:c>
      <x:c r="E29" s="174" t="n">
        <x:v>18.953239589446163</x:v>
      </x:c>
      <x:c r="F29" s="174" t="n">
        <x:v>0.33285052318581365</x:v>
      </x:c>
    </x:row>
    <x:row r="34">
      <x:c r="A34" s="6" t="str">
        <x:v>Target</x:v>
      </x:c>
      <x:c r="B34" s="6" t="str">
        <x:v>Bin</x:v>
      </x:c>
      <x:c r="C34" s="6" t="str">
        <x:v>Mean Predicted</x:v>
      </x:c>
      <x:c r="D34" s="6" t="str">
        <x:v>Observed Rate</x:v>
      </x:c>
      <x:c r="E34" s="6" t="str">
        <x:v>Projects</x:v>
      </x:c>
    </x:row>
    <x:row r="35">
      <x:c r="A35" s="170" t="str">
        <x:v>Cost_Overrun_Flag</x:v>
      </x:c>
      <x:c r="B35" s="170" t="n">
        <x:v>1</x:v>
      </x:c>
      <x:c r="C35" s="172" t="n">
        <x:v>0.06155117397307841</x:v>
      </x:c>
      <x:c r="D35" s="172" t="n">
        <x:v>0</x:v>
      </x:c>
      <x:c r="E35" s="170" t="n">
        <x:v>44</x:v>
      </x:c>
    </x:row>
    <x:row r="36">
      <x:c r="A36" s="170" t="str">
        <x:v>Cost_Overrun_Flag</x:v>
      </x:c>
      <x:c r="B36" s="170" t="n">
        <x:v>2</x:v>
      </x:c>
      <x:c r="C36" s="172" t="n">
        <x:v>0.10214038713989047</x:v>
      </x:c>
      <x:c r="D36" s="172" t="n">
        <x:v>0.022727272727272728</x:v>
      </x:c>
      <x:c r="E36" s="170" t="n">
        <x:v>44</x:v>
      </x:c>
    </x:row>
    <x:row r="37">
      <x:c r="A37" s="170" t="str">
        <x:v>Cost_Overrun_Flag</x:v>
      </x:c>
      <x:c r="B37" s="170" t="n">
        <x:v>3</x:v>
      </x:c>
      <x:c r="C37" s="172" t="n">
        <x:v>0.14960998384004887</x:v>
      </x:c>
      <x:c r="D37" s="172" t="n">
        <x:v>0.023255813953488372</x:v>
      </x:c>
      <x:c r="E37" s="170" t="n">
        <x:v>43</x:v>
      </x:c>
    </x:row>
    <x:row r="38">
      <x:c r="A38" s="170" t="str">
        <x:v>Cost_Overrun_Flag</x:v>
      </x:c>
      <x:c r="B38" s="170" t="n">
        <x:v>4</x:v>
      </x:c>
      <x:c r="C38" s="172" t="n">
        <x:v>0.2183861768550006</x:v>
      </x:c>
      <x:c r="D38" s="172" t="n">
        <x:v>0.045454545454545456</x:v>
      </x:c>
      <x:c r="E38" s="170" t="n">
        <x:v>44</x:v>
      </x:c>
    </x:row>
    <x:row r="39">
      <x:c r="A39" s="170" t="str">
        <x:v>Cost_Overrun_Flag</x:v>
      </x:c>
      <x:c r="B39" s="170" t="n">
        <x:v>5</x:v>
      </x:c>
      <x:c r="C39" s="172" t="n">
        <x:v>0.28006515556011174</x:v>
      </x:c>
      <x:c r="D39" s="172" t="n">
        <x:v>0.13953488372093023</x:v>
      </x:c>
      <x:c r="E39" s="170" t="n">
        <x:v>43</x:v>
      </x:c>
    </x:row>
    <x:row r="40">
      <x:c r="A40" s="170" t="str">
        <x:v>Cost_Overrun_Flag</x:v>
      </x:c>
      <x:c r="B40" s="170" t="n">
        <x:v>6</x:v>
      </x:c>
      <x:c r="C40" s="172" t="n">
        <x:v>0.3408233064206873</x:v>
      </x:c>
      <x:c r="D40" s="172" t="n">
        <x:v>0.022727272727272728</x:v>
      </x:c>
      <x:c r="E40" s="170" t="n">
        <x:v>44</x:v>
      </x:c>
    </x:row>
    <x:row r="41">
      <x:c r="A41" s="170" t="str">
        <x:v>Cost_Overrun_Flag</x:v>
      </x:c>
      <x:c r="B41" s="170" t="n">
        <x:v>7</x:v>
      </x:c>
      <x:c r="C41" s="172" t="n">
        <x:v>0.4225239310812231</x:v>
      </x:c>
      <x:c r="D41" s="172" t="n">
        <x:v>0.3488372093023256</x:v>
      </x:c>
      <x:c r="E41" s="170" t="n">
        <x:v>43</x:v>
      </x:c>
    </x:row>
    <x:row r="42">
      <x:c r="A42" s="170" t="str">
        <x:v>Cost_Overrun_Flag</x:v>
      </x:c>
      <x:c r="B42" s="170" t="n">
        <x:v>8</x:v>
      </x:c>
      <x:c r="C42" s="172" t="n">
        <x:v>0.5198093427181592</x:v>
      </x:c>
      <x:c r="D42" s="172" t="n">
        <x:v>0.45454545454545453</x:v>
      </x:c>
      <x:c r="E42" s="170" t="n">
        <x:v>44</x:v>
      </x:c>
    </x:row>
    <x:row r="43">
      <x:c r="A43" s="170" t="str">
        <x:v>Cost_Overrun_Flag</x:v>
      </x:c>
      <x:c r="B43" s="170" t="n">
        <x:v>9</x:v>
      </x:c>
      <x:c r="C43" s="172" t="n">
        <x:v>0.6583940933297046</x:v>
      </x:c>
      <x:c r="D43" s="172" t="n">
        <x:v>0.627906976744186</x:v>
      </x:c>
      <x:c r="E43" s="170" t="n">
        <x:v>43</x:v>
      </x:c>
    </x:row>
    <x:row r="44">
      <x:c r="A44" s="170" t="str">
        <x:v>Cost_Overrun_Flag</x:v>
      </x:c>
      <x:c r="B44" s="170" t="n">
        <x:v>10</x:v>
      </x:c>
      <x:c r="C44" s="172" t="n">
        <x:v>0.8237457336860392</x:v>
      </x:c>
      <x:c r="D44" s="172" t="n">
        <x:v>0.8636363636363636</x:v>
      </x:c>
      <x:c r="E44" s="170" t="n">
        <x:v>44</x:v>
      </x:c>
    </x:row>
    <x:row r="45">
      <x:c r="A45" s="170" t="str">
        <x:v>Schedule_Delay_Flag</x:v>
      </x:c>
      <x:c r="B45" s="170" t="n">
        <x:v>1</x:v>
      </x:c>
      <x:c r="C45" s="172" t="n">
        <x:v>0.046293074925947614</x:v>
      </x:c>
      <x:c r="D45" s="172" t="n">
        <x:v>0.06818181818181818</x:v>
      </x:c>
      <x:c r="E45" s="170" t="n">
        <x:v>44</x:v>
      </x:c>
    </x:row>
    <x:row r="46">
      <x:c r="A46" s="170" t="str">
        <x:v>Schedule_Delay_Flag</x:v>
      </x:c>
      <x:c r="B46" s="170" t="n">
        <x:v>2</x:v>
      </x:c>
      <x:c r="C46" s="172" t="n">
        <x:v>0.10002850626488073</x:v>
      </x:c>
      <x:c r="D46" s="172" t="n">
        <x:v>0.06818181818181818</x:v>
      </x:c>
      <x:c r="E46" s="170" t="n">
        <x:v>44</x:v>
      </x:c>
    </x:row>
    <x:row r="47">
      <x:c r="A47" s="170" t="str">
        <x:v>Schedule_Delay_Flag</x:v>
      </x:c>
      <x:c r="B47" s="170" t="n">
        <x:v>3</x:v>
      </x:c>
      <x:c r="C47" s="172" t="n">
        <x:v>0.1511895217551161</x:v>
      </x:c>
      <x:c r="D47" s="172" t="n">
        <x:v>0.16279069767441862</x:v>
      </x:c>
      <x:c r="E47" s="170" t="n">
        <x:v>43</x:v>
      </x:c>
    </x:row>
    <x:row r="48">
      <x:c r="A48" s="170" t="str">
        <x:v>Schedule_Delay_Flag</x:v>
      </x:c>
      <x:c r="B48" s="170" t="n">
        <x:v>4</x:v>
      </x:c>
      <x:c r="C48" s="172" t="n">
        <x:v>0.20827250688304574</x:v>
      </x:c>
      <x:c r="D48" s="172" t="n">
        <x:v>0.045454545454545456</x:v>
      </x:c>
      <x:c r="E48" s="170" t="n">
        <x:v>44</x:v>
      </x:c>
    </x:row>
    <x:row r="49">
      <x:c r="A49" s="170" t="str">
        <x:v>Schedule_Delay_Flag</x:v>
      </x:c>
      <x:c r="B49" s="170" t="n">
        <x:v>5</x:v>
      </x:c>
      <x:c r="C49" s="172" t="n">
        <x:v>0.2841517512334961</x:v>
      </x:c>
      <x:c r="D49" s="172" t="n">
        <x:v>0.09302325581395349</x:v>
      </x:c>
      <x:c r="E49" s="170" t="n">
        <x:v>43</x:v>
      </x:c>
    </x:row>
    <x:row r="50">
      <x:c r="A50" s="170" t="str">
        <x:v>Schedule_Delay_Flag</x:v>
      </x:c>
      <x:c r="B50" s="170" t="n">
        <x:v>6</x:v>
      </x:c>
      <x:c r="C50" s="172" t="n">
        <x:v>0.3836141074615726</x:v>
      </x:c>
      <x:c r="D50" s="172" t="n">
        <x:v>0.1590909090909091</x:v>
      </x:c>
      <x:c r="E50" s="170" t="n">
        <x:v>44</x:v>
      </x:c>
    </x:row>
    <x:row r="51">
      <x:c r="A51" s="170" t="str">
        <x:v>Schedule_Delay_Flag</x:v>
      </x:c>
      <x:c r="B51" s="170" t="n">
        <x:v>7</x:v>
      </x:c>
      <x:c r="C51" s="172" t="n">
        <x:v>0.4956962828441748</x:v>
      </x:c>
      <x:c r="D51" s="172" t="n">
        <x:v>0.11627906976744186</x:v>
      </x:c>
      <x:c r="E51" s="170" t="n">
        <x:v>43</x:v>
      </x:c>
    </x:row>
    <x:row r="52">
      <x:c r="A52" s="170" t="str">
        <x:v>Schedule_Delay_Flag</x:v>
      </x:c>
      <x:c r="B52" s="170" t="n">
        <x:v>8</x:v>
      </x:c>
      <x:c r="C52" s="172" t="n">
        <x:v>0.6098451585429485</x:v>
      </x:c>
      <x:c r="D52" s="172" t="n">
        <x:v>0.2727272727272727</x:v>
      </x:c>
      <x:c r="E52" s="170" t="n">
        <x:v>44</x:v>
      </x:c>
    </x:row>
    <x:row r="53">
      <x:c r="A53" s="170" t="str">
        <x:v>Schedule_Delay_Flag</x:v>
      </x:c>
      <x:c r="B53" s="170" t="n">
        <x:v>9</x:v>
      </x:c>
      <x:c r="C53" s="172" t="n">
        <x:v>0.7234505870912279</x:v>
      </x:c>
      <x:c r="D53" s="172" t="n">
        <x:v>0.3953488372093023</x:v>
      </x:c>
      <x:c r="E53" s="170" t="n">
        <x:v>43</x:v>
      </x:c>
    </x:row>
    <x:row r="54">
      <x:c r="A54" s="170" t="str">
        <x:v>Schedule_Delay_Flag</x:v>
      </x:c>
      <x:c r="B54" s="170" t="n">
        <x:v>10</x:v>
      </x:c>
      <x:c r="C54" s="172" t="n">
        <x:v>0.863492656125155</x:v>
      </x:c>
      <x:c r="D54" s="172" t="n">
        <x:v>0.5909090909090909</x:v>
      </x:c>
      <x:c r="E54" s="170" t="n">
        <x:v>44</x:v>
      </x:c>
    </x:row>
  </x:sheetData>
  <x:mergeCells>
    <x:mergeCell ref="A1:N1"/>
    <x:mergeCell ref="A2:N3"/>
  </x:mergeCells>
  <x:pageMargins left="0.7" right="0.7" top="0.75" bottom="0.75" header="0.3" footer="0.3"/>
  <x:drawing xmlns:r="http://schemas.openxmlformats.org/officeDocument/2006/relationships" r:id="Rb81b8c06c8ca45ba"/>
  <x:tableParts count="3">
    <x:tablePart xmlns:r="http://schemas.openxmlformats.org/officeDocument/2006/relationships" r:id="R3bd0cc87c36346b5"/>
    <x:tablePart xmlns:r="http://schemas.openxmlformats.org/officeDocument/2006/relationships" r:id="R431215b7d6404b11"/>
    <x:tablePart xmlns:r="http://schemas.openxmlformats.org/officeDocument/2006/relationships" r:id="R52268ffd621941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31" hidden="0" customWidth="1"/>
    <x:col min="4" max="4" width="18" hidden="0" customWidth="1"/>
    <x:col min="5" max="5" width="16" hidden="0" customWidth="1"/>
    <x:col min="6" max="6" width="18" hidden="0" customWidth="1"/>
    <x:col min="7" max="7" width="15" hidden="0" customWidth="1"/>
    <x:col min="8" max="8" width="17" hidden="0" customWidth="1"/>
    <x:col min="9" max="9" width="16" hidden="0" customWidth="1"/>
    <x:col min="10" max="10" width="12" hidden="0" customWidth="1"/>
    <x:col min="11" max="11" width="48" hidden="0" customWidth="1"/>
  </x:cols>
  <x:sheetData>
    <x:row r="1" ht="34" customHeight="1">
      <x:c r="A1" s="14" t="str">
        <x:v>Project Risk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21" t="str">
        <x:v>Ranked 2025 test projects with actual outcomes retained only for model evaluation.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5">
      <x:c r="A5" s="6" t="str">
        <x:v>Rank</x:v>
      </x:c>
      <x:c r="B5" s="6" t="str">
        <x:v>Project ID</x:v>
      </x:c>
      <x:c r="C5" s="6" t="str">
        <x:v>Project</x:v>
      </x:c>
      <x:c r="D5" s="6" t="str">
        <x:v>Type</x:v>
      </x:c>
      <x:c r="E5" s="6" t="str">
        <x:v>Complexity</x:v>
      </x:c>
      <x:c r="F5" s="6" t="str">
        <x:v>Owner Decision</x:v>
      </x:c>
      <x:c r="G5" s="6" t="str">
        <x:v>Cost Prob.</x:v>
      </x:c>
      <x:c r="H5" s="6" t="str">
        <x:v>Schedule Prob.</x:v>
      </x:c>
      <x:c r="I5" s="6" t="str">
        <x:v>Overall Prob.</x:v>
      </x:c>
      <x:c r="J5" s="6" t="str">
        <x:v>Band</x:v>
      </x:c>
      <x:c r="K5" s="6" t="str">
        <x:v>Drivers</x:v>
      </x:c>
    </x:row>
    <x:row r="6">
      <x:c r="A6" s="170" t="n">
        <x:v>1</x:v>
      </x:c>
      <x:c r="B6" s="170" t="str">
        <x:v>PRJ3-01418</x:v>
      </x:c>
      <x:c r="C6" s="170" t="str">
        <x:v>Gateway Bridge Program 1418</x:v>
      </x:c>
      <x:c r="D6" s="170" t="str">
        <x:v>Heavy Civil</x:v>
      </x:c>
      <x:c r="E6" s="170" t="str">
        <x:v>Very High</x:v>
      </x:c>
      <x:c r="F6" s="170" t="str">
        <x:v>Slow</x:v>
      </x:c>
      <x:c r="G6" s="172" t="n">
        <x:v>0.9399010320458105</x:v>
      </x:c>
      <x:c r="H6" s="172" t="n">
        <x:v>0.974275627409519</x:v>
      </x:c>
      <x:c r="I6" s="172" t="n">
        <x:v>0.9984539917560431</x:v>
      </x:c>
      <x:c r="J6" s="170" t="str">
        <x:v>Red</x:v>
      </x:c>
      <x:c r="K6" s="170" t="str">
        <x:v>Slow change approval; Workflow risk score; Overdue RFI backlog</x:v>
      </x:c>
    </x:row>
    <x:row r="7">
      <x:c r="A7" s="170" t="n">
        <x:v>2</x:v>
      </x:c>
      <x:c r="B7" s="170" t="str">
        <x:v>PRJ3-01705</x:v>
      </x:c>
      <x:c r="C7" s="170" t="str">
        <x:v>Granite Urban Village 1705</x:v>
      </x:c>
      <x:c r="D7" s="170" t="str">
        <x:v>Mixed-Use</x:v>
      </x:c>
      <x:c r="E7" s="170" t="str">
        <x:v>Very High</x:v>
      </x:c>
      <x:c r="F7" s="170" t="str">
        <x:v>Slow</x:v>
      </x:c>
      <x:c r="G7" s="172" t="n">
        <x:v>0.8906580948302405</x:v>
      </x:c>
      <x:c r="H7" s="172" t="n">
        <x:v>0.9774580536611016</x:v>
      </x:c>
      <x:c r="I7" s="172" t="n">
        <x:v>0.9975352206410704</x:v>
      </x:c>
      <x:c r="J7" s="170" t="str">
        <x:v>Red</x:v>
      </x:c>
      <x:c r="K7" s="170" t="str">
        <x:v>Overdue RFI backlog; Slow change approval; Workflow risk score</x:v>
      </x:c>
    </x:row>
    <x:row r="8">
      <x:c r="A8" s="170" t="n">
        <x:v>3</x:v>
      </x:c>
      <x:c r="B8" s="170" t="str">
        <x:v>PRJ3-00034</x:v>
      </x:c>
      <x:c r="C8" s="170" t="str">
        <x:v>Horizon Neighborhood 34</x:v>
      </x:c>
      <x:c r="D8" s="170" t="str">
        <x:v>Residential</x:v>
      </x:c>
      <x:c r="E8" s="170" t="str">
        <x:v>Very High</x:v>
      </x:c>
      <x:c r="F8" s="170" t="str">
        <x:v>Slow</x:v>
      </x:c>
      <x:c r="G8" s="172" t="n">
        <x:v>0.8029700587306873</x:v>
      </x:c>
      <x:c r="H8" s="172" t="n">
        <x:v>0.9679332651093985</x:v>
      </x:c>
      <x:c r="I8" s="172" t="n">
        <x:v>0.9936818931078062</x:v>
      </x:c>
      <x:c r="J8" s="170" t="str">
        <x:v>Red</x:v>
      </x:c>
      <x:c r="K8" s="170" t="str">
        <x:v>Overdue RFI backlog; Workflow risk score; Slow RFI response</x:v>
      </x:c>
    </x:row>
    <x:row r="9">
      <x:c r="A9" s="170" t="n">
        <x:v>4</x:v>
      </x:c>
      <x:c r="B9" s="170" t="str">
        <x:v>PRJ3-01716</x:v>
      </x:c>
      <x:c r="C9" s="170" t="str">
        <x:v>Redwood Logistics Center 1716</x:v>
      </x:c>
      <x:c r="D9" s="170" t="str">
        <x:v>Industrial</x:v>
      </x:c>
      <x:c r="E9" s="170" t="str">
        <x:v>Very High</x:v>
      </x:c>
      <x:c r="F9" s="170" t="str">
        <x:v>Slow</x:v>
      </x:c>
      <x:c r="G9" s="172" t="n">
        <x:v>0.9164024836914005</x:v>
      </x:c>
      <x:c r="H9" s="172" t="n">
        <x:v>0.9093088879040226</x:v>
      </x:c>
      <x:c r="I9" s="172" t="n">
        <x:v>0.9924184482775115</x:v>
      </x:c>
      <x:c r="J9" s="170" t="str">
        <x:v>Red</x:v>
      </x:c>
      <x:c r="K9" s="170" t="str">
        <x:v>Overdue RFI backlog; Slow RFI response; Workflow risk score</x:v>
      </x:c>
    </x:row>
    <x:row r="10">
      <x:c r="A10" s="170" t="n">
        <x:v>5</x:v>
      </x:c>
      <x:c r="B10" s="170" t="str">
        <x:v>PRJ3-00702</x:v>
      </x:c>
      <x:c r="C10" s="170" t="str">
        <x:v>Aspen Corporate Center 702</x:v>
      </x:c>
      <x:c r="D10" s="170" t="str">
        <x:v>Commercial</x:v>
      </x:c>
      <x:c r="E10" s="170" t="str">
        <x:v>High</x:v>
      </x:c>
      <x:c r="F10" s="170" t="str">
        <x:v>Slow</x:v>
      </x:c>
      <x:c r="G10" s="172" t="n">
        <x:v>0.9178694043852336</x:v>
      </x:c>
      <x:c r="H10" s="172" t="n">
        <x:v>0.891652346834567</x:v>
      </x:c>
      <x:c r="I10" s="172" t="n">
        <x:v>0.9911013427120609</x:v>
      </x:c>
      <x:c r="J10" s="170" t="str">
        <x:v>Red</x:v>
      </x:c>
      <x:c r="K10" s="170" t="str">
        <x:v>Overdue RFI backlog; Slow change approval; Slow RFI response</x:v>
      </x:c>
    </x:row>
    <x:row r="11">
      <x:c r="A11" s="170" t="n">
        <x:v>6</x:v>
      </x:c>
      <x:c r="B11" s="170" t="str">
        <x:v>PRJ3-01925</x:v>
      </x:c>
      <x:c r="C11" s="170" t="str">
        <x:v>Northstar Highway Improvements 1925</x:v>
      </x:c>
      <x:c r="D11" s="170" t="str">
        <x:v>Heavy Civil</x:v>
      </x:c>
      <x:c r="E11" s="170" t="str">
        <x:v>Very High</x:v>
      </x:c>
      <x:c r="F11" s="170" t="str">
        <x:v>Slow</x:v>
      </x:c>
      <x:c r="G11" s="172" t="n">
        <x:v>0.8809701386231231</x:v>
      </x:c>
      <x:c r="H11" s="172" t="n">
        <x:v>0.9197875047844151</x:v>
      </x:c>
      <x:c r="I11" s="172" t="n">
        <x:v>0.9904523178137955</x:v>
      </x:c>
      <x:c r="J11" s="170" t="str">
        <x:v>Red</x:v>
      </x:c>
      <x:c r="K11" s="170" t="str">
        <x:v>Slow change approval; Workflow risk score; Slow RFI response</x:v>
      </x:c>
    </x:row>
    <x:row r="12">
      <x:c r="A12" s="170" t="n">
        <x:v>7</x:v>
      </x:c>
      <x:c r="B12" s="170" t="str">
        <x:v>PRJ3-01981</x:v>
      </x:c>
      <x:c r="C12" s="170" t="str">
        <x:v>Pioneer Urban Village 1981</x:v>
      </x:c>
      <x:c r="D12" s="170" t="str">
        <x:v>Mixed-Use</x:v>
      </x:c>
      <x:c r="E12" s="170" t="str">
        <x:v>Very High</x:v>
      </x:c>
      <x:c r="F12" s="170" t="str">
        <x:v>Slow</x:v>
      </x:c>
      <x:c r="G12" s="172" t="n">
        <x:v>0.9408283367285022</x:v>
      </x:c>
      <x:c r="H12" s="172" t="n">
        <x:v>0.8040447635070153</x:v>
      </x:c>
      <x:c r="I12" s="172" t="n">
        <x:v>0.9884050027299504</x:v>
      </x:c>
      <x:c r="J12" s="170" t="str">
        <x:v>Red</x:v>
      </x:c>
      <x:c r="K12" s="170" t="str">
        <x:v>Overdue RFI backlog; Slow RFI response; Workflow risk score</x:v>
      </x:c>
    </x:row>
    <x:row r="13">
      <x:c r="A13" s="170" t="n">
        <x:v>8</x:v>
      </x:c>
      <x:c r="B13" s="170" t="str">
        <x:v>PRJ3-01492</x:v>
      </x:c>
      <x:c r="C13" s="170" t="str">
        <x:v>Horizon Education Center 1492</x:v>
      </x:c>
      <x:c r="D13" s="170" t="str">
        <x:v>Institutional</x:v>
      </x:c>
      <x:c r="E13" s="170" t="str">
        <x:v>High</x:v>
      </x:c>
      <x:c r="F13" s="170" t="str">
        <x:v>Slow</x:v>
      </x:c>
      <x:c r="G13" s="172" t="n">
        <x:v>0.9211636985505067</x:v>
      </x:c>
      <x:c r="H13" s="172" t="n">
        <x:v>0.824227015508608</x:v>
      </x:c>
      <x:c r="I13" s="172" t="n">
        <x:v>0.9861427080079596</x:v>
      </x:c>
      <x:c r="J13" s="170" t="str">
        <x:v>Red</x:v>
      </x:c>
      <x:c r="K13" s="170" t="str">
        <x:v>Overdue RFI backlog; Low CPI; Low SPI</x:v>
      </x:c>
    </x:row>
    <x:row r="14">
      <x:c r="A14" s="170" t="n">
        <x:v>9</x:v>
      </x:c>
      <x:c r="B14" s="170" t="str">
        <x:v>PRJ3-01752</x:v>
      </x:c>
      <x:c r="C14" s="170" t="str">
        <x:v>Lakeview Highway Improvements 1752</x:v>
      </x:c>
      <x:c r="D14" s="170" t="str">
        <x:v>Heavy Civil</x:v>
      </x:c>
      <x:c r="E14" s="170" t="str">
        <x:v>Moderate</x:v>
      </x:c>
      <x:c r="F14" s="170" t="str">
        <x:v>Slow</x:v>
      </x:c>
      <x:c r="G14" s="172" t="n">
        <x:v>0.8706742209909266</x:v>
      </x:c>
      <x:c r="H14" s="172" t="n">
        <x:v>0.8834930316154844</x:v>
      </x:c>
      <x:c r="I14" s="172" t="n">
        <x:v>0.9849326455536871</x:v>
      </x:c>
      <x:c r="J14" s="170" t="str">
        <x:v>Red</x:v>
      </x:c>
      <x:c r="K14" s="170" t="str">
        <x:v>Overdue RFI backlog; Low CPI; Low SPI</x:v>
      </x:c>
    </x:row>
    <x:row r="15">
      <x:c r="A15" s="170" t="n">
        <x:v>10</x:v>
      </x:c>
      <x:c r="B15" s="170" t="str">
        <x:v>PRJ3-02338</x:v>
      </x:c>
      <x:c r="C15" s="170" t="str">
        <x:v>Riverside Neighborhood 2338</x:v>
      </x:c>
      <x:c r="D15" s="170" t="str">
        <x:v>Residential</x:v>
      </x:c>
      <x:c r="E15" s="170" t="str">
        <x:v>High</x:v>
      </x:c>
      <x:c r="F15" s="170" t="str">
        <x:v>Slow</x:v>
      </x:c>
      <x:c r="G15" s="172" t="n">
        <x:v>0.7454881429490665</x:v>
      </x:c>
      <x:c r="H15" s="172" t="n">
        <x:v>0.9294939999865226</x:v>
      </x:c>
      <x:c r="I15" s="172" t="n">
        <x:v>0.9820553870033367</x:v>
      </x:c>
      <x:c r="J15" s="170" t="str">
        <x:v>Red</x:v>
      </x:c>
      <x:c r="K15" s="170" t="str">
        <x:v>Overdue RFI backlog; Slow change approval; Slow RFI response</x:v>
      </x:c>
    </x:row>
    <x:row r="16">
      <x:c r="A16" s="170" t="n">
        <x:v>11</x:v>
      </x:c>
      <x:c r="B16" s="170" t="str">
        <x:v>PRJ3-00088</x:v>
      </x:c>
      <x:c r="C16" s="170" t="str">
        <x:v>Harbor District 88</x:v>
      </x:c>
      <x:c r="D16" s="170" t="str">
        <x:v>Mixed-Use</x:v>
      </x:c>
      <x:c r="E16" s="170" t="str">
        <x:v>Very High</x:v>
      </x:c>
      <x:c r="F16" s="170" t="str">
        <x:v>Fast</x:v>
      </x:c>
      <x:c r="G16" s="172" t="n">
        <x:v>0.9067690409061179</x:v>
      </x:c>
      <x:c r="H16" s="172" t="n">
        <x:v>0.8024461175594633</x:v>
      </x:c>
      <x:c r="I16" s="172" t="n">
        <x:v>0.9815818620673488</x:v>
      </x:c>
      <x:c r="J16" s="170" t="str">
        <x:v>Red</x:v>
      </x:c>
      <x:c r="K16" s="170" t="str">
        <x:v>Overdue RFI backlog; Slow RFI response; Workflow risk score</x:v>
      </x:c>
    </x:row>
    <x:row r="17">
      <x:c r="A17" s="170" t="n">
        <x:v>12</x:v>
      </x:c>
      <x:c r="B17" s="170" t="str">
        <x:v>PRJ3-01155</x:v>
      </x:c>
      <x:c r="C17" s="170" t="str">
        <x:v>Copper Education Center 1155</x:v>
      </x:c>
      <x:c r="D17" s="170" t="str">
        <x:v>Institutional</x:v>
      </x:c>
      <x:c r="E17" s="170" t="str">
        <x:v>High</x:v>
      </x:c>
      <x:c r="F17" s="170" t="str">
        <x:v>Slow</x:v>
      </x:c>
      <x:c r="G17" s="172" t="n">
        <x:v>0.6995501097522088</x:v>
      </x:c>
      <x:c r="H17" s="172" t="n">
        <x:v>0.9342149703743526</x:v>
      </x:c>
      <x:c r="I17" s="172" t="n">
        <x:v>0.9802348950690265</x:v>
      </x:c>
      <x:c r="J17" s="170" t="str">
        <x:v>Red</x:v>
      </x:c>
      <x:c r="K17" s="170" t="str">
        <x:v>Slow RFI response; Slow change approval; Workflow risk score</x:v>
      </x:c>
    </x:row>
    <x:row r="18">
      <x:c r="A18" s="170" t="n">
        <x:v>13</x:v>
      </x:c>
      <x:c r="B18" s="170" t="str">
        <x:v>PRJ3-01906</x:v>
      </x:c>
      <x:c r="C18" s="170" t="str">
        <x:v>Liberty Education Center 1906</x:v>
      </x:c>
      <x:c r="D18" s="170" t="str">
        <x:v>Institutional</x:v>
      </x:c>
      <x:c r="E18" s="170" t="str">
        <x:v>Very High</x:v>
      </x:c>
      <x:c r="F18" s="170" t="str">
        <x:v>Fast</x:v>
      </x:c>
      <x:c r="G18" s="172" t="n">
        <x:v>0.5100779097786279</x:v>
      </x:c>
      <x:c r="H18" s="172" t="n">
        <x:v>0.9497750771802724</x:v>
      </x:c>
      <x:c r="I18" s="172" t="n">
        <x:v>0.975393700830952</x:v>
      </x:c>
      <x:c r="J18" s="170" t="str">
        <x:v>Red</x:v>
      </x:c>
      <x:c r="K18" s="170" t="str">
        <x:v>Overdue RFI backlog; Slow RFI response; Slow change approval</x:v>
      </x:c>
    </x:row>
    <x:row r="19">
      <x:c r="A19" s="170" t="n">
        <x:v>14</x:v>
      </x:c>
      <x:c r="B19" s="170" t="str">
        <x:v>PRJ3-00192</x:v>
      </x:c>
      <x:c r="C19" s="170" t="str">
        <x:v>Cedar Research Facility 192</x:v>
      </x:c>
      <x:c r="D19" s="170" t="str">
        <x:v>Institutional</x:v>
      </x:c>
      <x:c r="E19" s="170" t="str">
        <x:v>High</x:v>
      </x:c>
      <x:c r="F19" s="170" t="str">
        <x:v>Slow</x:v>
      </x:c>
      <x:c r="G19" s="172" t="n">
        <x:v>0.8460612027945218</x:v>
      </x:c>
      <x:c r="H19" s="172" t="n">
        <x:v>0.8281913133109264</x:v>
      </x:c>
      <x:c r="I19" s="172" t="n">
        <x:v>0.9735519774216311</x:v>
      </x:c>
      <x:c r="J19" s="170" t="str">
        <x:v>Red</x:v>
      </x:c>
      <x:c r="K19" s="170" t="str">
        <x:v>Overdue RFI backlog; Workflow risk score; Slow change approval</x:v>
      </x:c>
    </x:row>
    <x:row r="20">
      <x:c r="A20" s="170" t="n">
        <x:v>15</x:v>
      </x:c>
      <x:c r="B20" s="170" t="str">
        <x:v>PRJ3-02161</x:v>
      </x:c>
      <x:c r="C20" s="170" t="str">
        <x:v>Gateway Utility Corridor 2161</x:v>
      </x:c>
      <x:c r="D20" s="170" t="str">
        <x:v>Infrastructure</x:v>
      </x:c>
      <x:c r="E20" s="170" t="str">
        <x:v>Very High</x:v>
      </x:c>
      <x:c r="F20" s="170" t="str">
        <x:v>Slow</x:v>
      </x:c>
      <x:c r="G20" s="172" t="n">
        <x:v>0.8410752681621066</x:v>
      </x:c>
      <x:c r="H20" s="172" t="n">
        <x:v>0.8207590009973642</x:v>
      </x:c>
      <x:c r="I20" s="172" t="n">
        <x:v>0.97151417229915</x:v>
      </x:c>
      <x:c r="J20" s="170" t="str">
        <x:v>Red</x:v>
      </x:c>
      <x:c r="K20" s="170" t="str">
        <x:v>Overdue RFI backlog; Slow RFI response; Low SPI</x:v>
      </x:c>
    </x:row>
    <x:row r="21">
      <x:c r="A21" s="170" t="n">
        <x:v>16</x:v>
      </x:c>
      <x:c r="B21" s="170" t="str">
        <x:v>PRJ3-00084</x:v>
      </x:c>
      <x:c r="C21" s="170" t="str">
        <x:v>Gateway Earthworks Package 84</x:v>
      </x:c>
      <x:c r="D21" s="170" t="str">
        <x:v>Heavy Civil</x:v>
      </x:c>
      <x:c r="E21" s="170" t="str">
        <x:v>High</x:v>
      </x:c>
      <x:c r="F21" s="170" t="str">
        <x:v>Standard</x:v>
      </x:c>
      <x:c r="G21" s="172" t="n">
        <x:v>0.5809410964515245</x:v>
      </x:c>
      <x:c r="H21" s="172" t="n">
        <x:v>0.9295725547936741</x:v>
      </x:c>
      <x:c r="I21" s="172" t="n">
        <x:v>0.9704867520321168</x:v>
      </x:c>
      <x:c r="J21" s="170" t="str">
        <x:v>Red</x:v>
      </x:c>
      <x:c r="K21" s="170" t="str">
        <x:v>Overdue RFI backlog; Low SPI; Low CPI</x:v>
      </x:c>
    </x:row>
    <x:row r="22">
      <x:c r="A22" s="170" t="n">
        <x:v>17</x:v>
      </x:c>
      <x:c r="B22" s="170" t="str">
        <x:v>PRJ3-01281</x:v>
      </x:c>
      <x:c r="C22" s="170" t="str">
        <x:v>Evergreen District 1281</x:v>
      </x:c>
      <x:c r="D22" s="170" t="str">
        <x:v>Mixed-Use</x:v>
      </x:c>
      <x:c r="E22" s="170" t="str">
        <x:v>High</x:v>
      </x:c>
      <x:c r="F22" s="170" t="str">
        <x:v>Standard</x:v>
      </x:c>
      <x:c r="G22" s="172" t="n">
        <x:v>0.8704124174249152</x:v>
      </x:c>
      <x:c r="H22" s="172" t="n">
        <x:v>0.7486097435814238</x:v>
      </x:c>
      <x:c r="I22" s="172" t="n">
        <x:v>0.967422944387786</x:v>
      </x:c>
      <x:c r="J22" s="170" t="str">
        <x:v>Red</x:v>
      </x:c>
      <x:c r="K22" s="170" t="str">
        <x:v>Overdue RFI backlog; Workflow risk score; Low CPI</x:v>
      </x:c>
    </x:row>
    <x:row r="23">
      <x:c r="A23" s="170" t="n">
        <x:v>18</x:v>
      </x:c>
      <x:c r="B23" s="170" t="str">
        <x:v>PRJ3-01248</x:v>
      </x:c>
      <x:c r="C23" s="170" t="str">
        <x:v>Evergreen Residences 1248</x:v>
      </x:c>
      <x:c r="D23" s="170" t="str">
        <x:v>Residential</x:v>
      </x:c>
      <x:c r="E23" s="170" t="str">
        <x:v>High</x:v>
      </x:c>
      <x:c r="F23" s="170" t="str">
        <x:v>Slow</x:v>
      </x:c>
      <x:c r="G23" s="172" t="n">
        <x:v>0.8176519230112734</x:v>
      </x:c>
      <x:c r="H23" s="172" t="n">
        <x:v>0.8124278956584001</x:v>
      </x:c>
      <x:c r="I23" s="172" t="n">
        <x:v>0.9657965874765805</x:v>
      </x:c>
      <x:c r="J23" s="170" t="str">
        <x:v>Red</x:v>
      </x:c>
      <x:c r="K23" s="170" t="str">
        <x:v>Overdue RFI backlog; Low SPI; Low CPI</x:v>
      </x:c>
    </x:row>
    <x:row r="24">
      <x:c r="A24" s="170" t="n">
        <x:v>19</x:v>
      </x:c>
      <x:c r="B24" s="170" t="str">
        <x:v>PRJ3-00260</x:v>
      </x:c>
      <x:c r="C24" s="170" t="str">
        <x:v>Riverside Bridge Program 260</x:v>
      </x:c>
      <x:c r="D24" s="170" t="str">
        <x:v>Heavy Civil</x:v>
      </x:c>
      <x:c r="E24" s="170" t="str">
        <x:v>High</x:v>
      </x:c>
      <x:c r="F24" s="170" t="str">
        <x:v>Slow</x:v>
      </x:c>
      <x:c r="G24" s="172" t="n">
        <x:v>0.8081018570237497</x:v>
      </x:c>
      <x:c r="H24" s="172" t="n">
        <x:v>0.8140603771057844</x:v>
      </x:c>
      <x:c r="I24" s="172" t="n">
        <x:v>0.9643185316608958</x:v>
      </x:c>
      <x:c r="J24" s="170" t="str">
        <x:v>Red</x:v>
      </x:c>
      <x:c r="K24" s="170" t="str">
        <x:v>Overdue RFI backlog; Low SPI; Low CPI</x:v>
      </x:c>
    </x:row>
    <x:row r="25">
      <x:c r="A25" s="170" t="n">
        <x:v>20</x:v>
      </x:c>
      <x:c r="B25" s="170" t="str">
        <x:v>PRJ3-00404</x:v>
      </x:c>
      <x:c r="C25" s="170" t="str">
        <x:v>Cedar Logistics Center 404</x:v>
      </x:c>
      <x:c r="D25" s="170" t="str">
        <x:v>Industrial</x:v>
      </x:c>
      <x:c r="E25" s="170" t="str">
        <x:v>High</x:v>
      </x:c>
      <x:c r="F25" s="170" t="str">
        <x:v>Slow</x:v>
      </x:c>
      <x:c r="G25" s="172" t="n">
        <x:v>0.8833368170276948</x:v>
      </x:c>
      <x:c r="H25" s="172" t="n">
        <x:v>0.6941388640514481</x:v>
      </x:c>
      <x:c r="I25" s="172" t="n">
        <x:v>0.964317266332717</x:v>
      </x:c>
      <x:c r="J25" s="170" t="str">
        <x:v>Red</x:v>
      </x:c>
      <x:c r="K25" s="170" t="str">
        <x:v>Overdue RFI backlog; Slow change approval; Workflow risk score</x:v>
      </x:c>
    </x:row>
    <x:row r="26">
      <x:c r="A26" s="170" t="n">
        <x:v>21</x:v>
      </x:c>
      <x:c r="B26" s="170" t="str">
        <x:v>PRJ3-02204</x:v>
      </x:c>
      <x:c r="C26" s="170" t="str">
        <x:v>Mesa Civic Complex 2204</x:v>
      </x:c>
      <x:c r="D26" s="170" t="str">
        <x:v>Institutional</x:v>
      </x:c>
      <x:c r="E26" s="170" t="str">
        <x:v>Very High</x:v>
      </x:c>
      <x:c r="F26" s="170" t="str">
        <x:v>Slow</x:v>
      </x:c>
      <x:c r="G26" s="172" t="n">
        <x:v>0.8510433600784493</x:v>
      </x:c>
      <x:c r="H26" s="172" t="n">
        <x:v>0.7572113194183212</x:v>
      </x:c>
      <x:c r="I26" s="172" t="n">
        <x:v>0.9638350139295665</x:v>
      </x:c>
      <x:c r="J26" s="170" t="str">
        <x:v>Red</x:v>
      </x:c>
      <x:c r="K26" s="170" t="str">
        <x:v>Slow change approval; Workflow risk score; Overdue RFI backlog</x:v>
      </x:c>
    </x:row>
    <x:row r="27">
      <x:c r="A27" s="170" t="n">
        <x:v>22</x:v>
      </x:c>
      <x:c r="B27" s="170" t="str">
        <x:v>PRJ3-00641</x:v>
      </x:c>
      <x:c r="C27" s="170" t="str">
        <x:v>Canyon Retail Center 641</x:v>
      </x:c>
      <x:c r="D27" s="170" t="str">
        <x:v>Commercial</x:v>
      </x:c>
      <x:c r="E27" s="170" t="str">
        <x:v>High</x:v>
      </x:c>
      <x:c r="F27" s="170" t="str">
        <x:v>Slow</x:v>
      </x:c>
      <x:c r="G27" s="172" t="n">
        <x:v>0.9083213182467744</x:v>
      </x:c>
      <x:c r="H27" s="172" t="n">
        <x:v>0.5992069165583309</x:v>
      </x:c>
      <x:c r="I27" s="172" t="n">
        <x:v>0.9632558184542572</x:v>
      </x:c>
      <x:c r="J27" s="170" t="str">
        <x:v>Red</x:v>
      </x:c>
      <x:c r="K27" s="170" t="str">
        <x:v>Overdue RFI backlog; Low CPI; Pending change exposure</x:v>
      </x:c>
    </x:row>
    <x:row r="28">
      <x:c r="A28" s="170" t="n">
        <x:v>23</x:v>
      </x:c>
      <x:c r="B28" s="170" t="str">
        <x:v>PRJ3-01519</x:v>
      </x:c>
      <x:c r="C28" s="170" t="str">
        <x:v>Granite Utility Corridor 1519</x:v>
      </x:c>
      <x:c r="D28" s="170" t="str">
        <x:v>Infrastructure</x:v>
      </x:c>
      <x:c r="E28" s="170" t="str">
        <x:v>Very High</x:v>
      </x:c>
      <x:c r="F28" s="170" t="str">
        <x:v>Standard</x:v>
      </x:c>
      <x:c r="G28" s="172" t="n">
        <x:v>0.4710192440936519</x:v>
      </x:c>
      <x:c r="H28" s="172" t="n">
        <x:v>0.928972846407721</x:v>
      </x:c>
      <x:c r="I28" s="172" t="n">
        <x:v>0.96242800260288</x:v>
      </x:c>
      <x:c r="J28" s="170" t="str">
        <x:v>Red</x:v>
      </x:c>
      <x:c r="K28" s="170" t="str">
        <x:v>Slow change approval; Overdue RFI backlog; Slow RFI response</x:v>
      </x:c>
    </x:row>
    <x:row r="29">
      <x:c r="A29" s="170" t="n">
        <x:v>24</x:v>
      </x:c>
      <x:c r="B29" s="170" t="str">
        <x:v>PRJ3-01875</x:v>
      </x:c>
      <x:c r="C29" s="170" t="str">
        <x:v>Canyon Housing 1875</x:v>
      </x:c>
      <x:c r="D29" s="170" t="str">
        <x:v>Residential</x:v>
      </x:c>
      <x:c r="E29" s="170" t="str">
        <x:v>Moderate</x:v>
      </x:c>
      <x:c r="F29" s="170" t="str">
        <x:v>Slow</x:v>
      </x:c>
      <x:c r="G29" s="172" t="n">
        <x:v>0.6826212663158453</x:v>
      </x:c>
      <x:c r="H29" s="172" t="n">
        <x:v>0.8757731622805178</x:v>
      </x:c>
      <x:c r="I29" s="172" t="n">
        <x:v>0.9605730435550037</x:v>
      </x:c>
      <x:c r="J29" s="170" t="str">
        <x:v>Red</x:v>
      </x:c>
      <x:c r="K29" s="170" t="str">
        <x:v>Slow change approval; Overdue RFI backlog; Low CPI</x:v>
      </x:c>
    </x:row>
    <x:row r="30">
      <x:c r="A30" s="170" t="n">
        <x:v>25</x:v>
      </x:c>
      <x:c r="B30" s="170" t="str">
        <x:v>PRJ3-01379</x:v>
      </x:c>
      <x:c r="C30" s="170" t="str">
        <x:v>Summit Apartments 1379</x:v>
      </x:c>
      <x:c r="D30" s="170" t="str">
        <x:v>Residential</x:v>
      </x:c>
      <x:c r="E30" s="170" t="str">
        <x:v>Very High</x:v>
      </x:c>
      <x:c r="F30" s="170" t="str">
        <x:v>Standard</x:v>
      </x:c>
      <x:c r="G30" s="172" t="n">
        <x:v>0.7101171011123641</x:v>
      </x:c>
      <x:c r="H30" s="172" t="n">
        <x:v>0.8602208396468023</x:v>
      </x:c>
      <x:c r="I30" s="172" t="n">
        <x:v>0.9594804117927354</x:v>
      </x:c>
      <x:c r="J30" s="170" t="str">
        <x:v>Red</x:v>
      </x:c>
      <x:c r="K30" s="170" t="str">
        <x:v>Overdue RFI backlog; Low SPI; Low CPI</x:v>
      </x:c>
    </x:row>
    <x:row r="31">
      <x:c r="A31" s="170" t="n">
        <x:v>26</x:v>
      </x:c>
      <x:c r="B31" s="170" t="str">
        <x:v>PRJ3-02104</x:v>
      </x:c>
      <x:c r="C31" s="170" t="str">
        <x:v>Summit Transit Program 2104</x:v>
      </x:c>
      <x:c r="D31" s="170" t="str">
        <x:v>Infrastructure</x:v>
      </x:c>
      <x:c r="E31" s="170" t="str">
        <x:v>Moderate</x:v>
      </x:c>
      <x:c r="F31" s="170" t="str">
        <x:v>Standard</x:v>
      </x:c>
      <x:c r="G31" s="172" t="n">
        <x:v>0.7257952926277584</x:v>
      </x:c>
      <x:c r="H31" s="172" t="n">
        <x:v>0.8521933486656864</x:v>
      </x:c>
      <x:c r="I31" s="172" t="n">
        <x:v>0.9594707204232036</x:v>
      </x:c>
      <x:c r="J31" s="170" t="str">
        <x:v>Red</x:v>
      </x:c>
      <x:c r="K31" s="170" t="str">
        <x:v>Overdue RFI backlog; Low CPI; Low SPI</x:v>
      </x:c>
    </x:row>
    <x:row r="32">
      <x:c r="A32" s="170" t="n">
        <x:v>27</x:v>
      </x:c>
      <x:c r="B32" s="170" t="str">
        <x:v>PRJ3-02151</x:v>
      </x:c>
      <x:c r="C32" s="170" t="str">
        <x:v>Crescent Town Center 2151</x:v>
      </x:c>
      <x:c r="D32" s="170" t="str">
        <x:v>Mixed-Use</x:v>
      </x:c>
      <x:c r="E32" s="170" t="str">
        <x:v>High</x:v>
      </x:c>
      <x:c r="F32" s="170" t="str">
        <x:v>Standard</x:v>
      </x:c>
      <x:c r="G32" s="172" t="n">
        <x:v>0.6896826998400225</x:v>
      </x:c>
      <x:c r="H32" s="172" t="n">
        <x:v>0.8620544894341754</x:v>
      </x:c>
      <x:c r="I32" s="172" t="n">
        <x:v>0.9571931215920236</x:v>
      </x:c>
      <x:c r="J32" s="170" t="str">
        <x:v>Red</x:v>
      </x:c>
      <x:c r="K32" s="170" t="str">
        <x:v>Slow change approval; Low CPI; Low SPI</x:v>
      </x:c>
    </x:row>
    <x:row r="33">
      <x:c r="A33" s="170" t="n">
        <x:v>28</x:v>
      </x:c>
      <x:c r="B33" s="170" t="str">
        <x:v>PRJ3-01769</x:v>
      </x:c>
      <x:c r="C33" s="170" t="str">
        <x:v>Summit Town Center 1769</x:v>
      </x:c>
      <x:c r="D33" s="170" t="str">
        <x:v>Mixed-Use</x:v>
      </x:c>
      <x:c r="E33" s="170" t="str">
        <x:v>Very High</x:v>
      </x:c>
      <x:c r="F33" s="170" t="str">
        <x:v>Standard</x:v>
      </x:c>
      <x:c r="G33" s="172" t="n">
        <x:v>0.7359327170359812</x:v>
      </x:c>
      <x:c r="H33" s="172" t="n">
        <x:v>0.8355878250429265</x:v>
      </x:c>
      <x:c r="I33" s="172" t="n">
        <x:v>0.9565841236728807</x:v>
      </x:c>
      <x:c r="J33" s="170" t="str">
        <x:v>Red</x:v>
      </x:c>
      <x:c r="K33" s="170" t="str">
        <x:v>Low CPI; Low SPI; Pending change exposure</x:v>
      </x:c>
    </x:row>
    <x:row r="34">
      <x:c r="A34" s="170" t="n">
        <x:v>29</x:v>
      </x:c>
      <x:c r="B34" s="170" t="str">
        <x:v>PRJ3-01363</x:v>
      </x:c>
      <x:c r="C34" s="170" t="str">
        <x:v>Redwood Utility Corridor 1363</x:v>
      </x:c>
      <x:c r="D34" s="170" t="str">
        <x:v>Infrastructure</x:v>
      </x:c>
      <x:c r="E34" s="170" t="str">
        <x:v>Moderate</x:v>
      </x:c>
      <x:c r="F34" s="170" t="str">
        <x:v>Slow</x:v>
      </x:c>
      <x:c r="G34" s="172" t="n">
        <x:v>0.7143264230743493</x:v>
      </x:c>
      <x:c r="H34" s="172" t="n">
        <x:v>0.8471967690773187</x:v>
      </x:c>
      <x:c r="I34" s="172" t="n">
        <x:v>0.9563481544565214</x:v>
      </x:c>
      <x:c r="J34" s="170" t="str">
        <x:v>Red</x:v>
      </x:c>
      <x:c r="K34" s="170" t="str">
        <x:v>Slow change approval; Slow RFI response; Workflow risk score</x:v>
      </x:c>
    </x:row>
    <x:row r="35">
      <x:c r="A35" s="170" t="n">
        <x:v>30</x:v>
      </x:c>
      <x:c r="B35" s="170" t="str">
        <x:v>PRJ3-00929</x:v>
      </x:c>
      <x:c r="C35" s="170" t="str">
        <x:v>Liberty District 929</x:v>
      </x:c>
      <x:c r="D35" s="170" t="str">
        <x:v>Mixed-Use</x:v>
      </x:c>
      <x:c r="E35" s="170" t="str">
        <x:v>High</x:v>
      </x:c>
      <x:c r="F35" s="170" t="str">
        <x:v>Slow</x:v>
      </x:c>
      <x:c r="G35" s="172" t="n">
        <x:v>0.8605703572699055</x:v>
      </x:c>
      <x:c r="H35" s="172" t="n">
        <x:v>0.6846367998757572</x:v>
      </x:c>
      <x:c r="I35" s="172" t="n">
        <x:v>0.9560290216764575</x:v>
      </x:c>
      <x:c r="J35" s="170" t="str">
        <x:v>Red</x:v>
      </x:c>
      <x:c r="K35" s="170" t="str">
        <x:v>Overdue RFI backlog; Low SPI; Low CPI</x:v>
      </x:c>
    </x:row>
  </x:sheetData>
  <x:mergeCells>
    <x:mergeCell ref="A1:N1"/>
    <x:mergeCell ref="A2:N3"/>
  </x:mergeCells>
  <x:conditionalFormatting sqref="J6:J35">
    <x:cfRule type="expression" dxfId="1" priority="1">
      <x:formula>J6="Red"</x:formula>
    </x:cfRule>
  </x:conditionalFormatting>
  <x:conditionalFormatting sqref="I6:I35">
    <x:cfRule type="dataBar" priority="2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{1CA52BB3-6153-59D5-0324-F066712A6C47}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29bf7e73f104b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CA52BB3-6153-59D5-0324-F066712A6C47}">
            <x14:dataBar gradient="1">
              <x14:cfvo type="min"/>
              <x14:cfvo type="max"/>
              <x14:fillColor rgb="FF1EA7C5"/>
            </x14:dataBar>
          </x14:cfRule>
          <xm:sqref>I6:I35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4" hidden="0" customWidth="1"/>
    <x:col min="6" max="6" width="42" hidden="0" customWidth="1"/>
    <x:col min="7" max="7" width="16" hidden="0" customWidth="1"/>
    <x:col min="8" max="8" width="14" hidden="0" customWidth="1"/>
  </x:cols>
  <x:sheetData>
    <x:row r="1" ht="34" customHeight="1">
      <x:c r="A1" s="14" t="str">
        <x:v>Feature Driver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21" t="str">
        <x:v>Permutation importance on the held-out 2025 test set. Importance is predictive, not causal.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</x:row>
    <x:row r="5">
      <x:c r="A5" s="6" t="str">
        <x:v>Cost Feature</x:v>
      </x:c>
      <x:c r="B5" s="6" t="str">
        <x:v>Importance</x:v>
      </x:c>
      <x:c r="C5" s="6" t="str">
        <x:v>Std</x:v>
      </x:c>
      <x:c r="F5" s="6" t="str">
        <x:v>Schedule Feature</x:v>
      </x:c>
      <x:c r="G5" s="6" t="str">
        <x:v>Importance</x:v>
      </x:c>
      <x:c r="H5" s="6" t="str">
        <x:v>Std</x:v>
      </x:c>
    </x:row>
    <x:row r="6">
      <x:c r="A6" s="170" t="str">
        <x:v>CPI_Snapshot</x:v>
      </x:c>
      <x:c r="B6" s="170" t="n">
        <x:v>0.05017325017325018</x:v>
      </x:c>
      <x:c r="C6" s="170" t="n">
        <x:v>0.008526330865065195</x:v>
      </x:c>
      <x:c r="F6" s="170" t="str">
        <x:v>SPI_Snapshot</x:v>
      </x:c>
      <x:c r="G6" s="170" t="n">
        <x:v>0.13424418604651173</x:v>
      </x:c>
      <x:c r="H6" s="170" t="n">
        <x:v>0.02734023857373624</x:v>
      </x:c>
    </x:row>
    <x:row r="7">
      <x:c r="A7" s="170" t="str">
        <x:v>Cost_Variance_Pct_Snapshot</x:v>
      </x:c>
      <x:c r="B7" s="170" t="n">
        <x:v>0.028918918918918915</x:v>
      </x:c>
      <x:c r="C7" s="170" t="n">
        <x:v>0.005598720817902763</x:v>
      </x:c>
      <x:c r="F7" s="170" t="str">
        <x:v>Planned_Percent_Complete</x:v>
      </x:c>
      <x:c r="G7" s="170" t="n">
        <x:v>0.03247508305647853</x:v>
      </x:c>
      <x:c r="H7" s="170" t="n">
        <x:v>0.013773028199357235</x:v>
      </x:c>
    </x:row>
    <x:row r="8">
      <x:c r="A8" s="170" t="str">
        <x:v>Approved_Change_Value_Pct_Budget</x:v>
      </x:c>
      <x:c r="B8" s="170" t="n">
        <x:v>0.007972972972972989</x:v>
      </x:c>
      <x:c r="C8" s="170" t="n">
        <x:v>0.002122888038281267</x:v>
      </x:c>
      <x:c r="F8" s="170" t="str">
        <x:v>Procurement_Delay_Days_to_Date</x:v>
      </x:c>
      <x:c r="G8" s="170" t="n">
        <x:v>0.02989202657807319</x:v>
      </x:c>
      <x:c r="H8" s="170" t="n">
        <x:v>0.006702359332525305</x:v>
      </x:c>
    </x:row>
    <x:row r="9">
      <x:c r="A9" s="170" t="str">
        <x:v>Pending_Change_Exposure_Pct_Budget</x:v>
      </x:c>
      <x:c r="B9" s="170" t="n">
        <x:v>0.003038808038808044</x:v>
      </x:c>
      <x:c r="C9" s="170" t="n">
        <x:v>0.0013257838621656606</x:v>
      </x:c>
      <x:c r="F9" s="170" t="str">
        <x:v>Overdue_RFI_Rate</x:v>
      </x:c>
      <x:c r="G9" s="170" t="n">
        <x:v>0.02149916943521603</x:v>
      </x:c>
      <x:c r="H9" s="170" t="n">
        <x:v>0.008941868912710663</x:v>
      </x:c>
    </x:row>
    <x:row r="10">
      <x:c r="A10" s="170" t="str">
        <x:v>Labor_Productivity_Index</x:v>
      </x:c>
      <x:c r="B10" s="170" t="n">
        <x:v>0.0025641025641025966</x:v>
      </x:c>
      <x:c r="C10" s="170" t="n">
        <x:v>0.0009599498029617663</x:v>
      </x:c>
      <x:c r="F10" s="170" t="str">
        <x:v>Old_Pending_Change_Rate</x:v>
      </x:c>
      <x:c r="G10" s="170" t="n">
        <x:v>0.010697674418604766</x:v>
      </x:c>
      <x:c r="H10" s="170" t="n">
        <x:v>0.0066645876310678495</x:v>
      </x:c>
    </x:row>
    <x:row r="11">
      <x:c r="A11" s="170" t="str">
        <x:v>Contingency_Utilization_Pct</x:v>
      </x:c>
      <x:c r="B11" s="170" t="n">
        <x:v>0.002151767151767181</x:v>
      </x:c>
      <x:c r="C11" s="170" t="n">
        <x:v>0.0014019140245032666</x:v>
      </x:c>
      <x:c r="F11" s="170" t="str">
        <x:v>Actual_Percent_Complete</x:v>
      </x:c>
      <x:c r="G11" s="170" t="n">
        <x:v>0.009547342192691155</x:v>
      </x:c>
      <x:c r="H11" s="170" t="n">
        <x:v>0.01115569326135163</x:v>
      </x:c>
    </x:row>
    <x:row r="12">
      <x:c r="A12" s="170" t="str">
        <x:v>Procurement_Delay_Days_to_Date</x:v>
      </x:c>
      <x:c r="B12" s="170" t="n">
        <x:v>0.001985446985446976</x:v>
      </x:c>
      <x:c r="C12" s="170" t="n">
        <x:v>0.001821099151879436</x:v>
      </x:c>
      <x:c r="F12" s="170" t="str">
        <x:v>RFI_On_Time_Rate</x:v>
      </x:c>
      <x:c r="G12" s="170" t="n">
        <x:v>0.005963455149501751</x:v>
      </x:c>
      <x:c r="H12" s="170" t="n">
        <x:v>0.003373565624481274</x:v>
      </x:c>
    </x:row>
    <x:row r="13">
      <x:c r="A13" s="170" t="str">
        <x:v>SPI_Snapshot</x:v>
      </x:c>
      <x:c r="B13" s="170" t="n">
        <x:v>0.001334026334026378</x:v>
      </x:c>
      <x:c r="C13" s="170" t="n">
        <x:v>0.0013023574026521847</x:v>
      </x:c>
      <x:c r="F13" s="170" t="str">
        <x:v>Revision_Loop_Rate</x:v>
      </x:c>
      <x:c r="G13" s="170" t="n">
        <x:v>0.005099667774086533</x:v>
      </x:c>
      <x:c r="H13" s="170" t="n">
        <x:v>0.0031506334089487706</x:v>
      </x:c>
    </x:row>
    <x:row r="14">
      <x:c r="A14" s="170" t="str">
        <x:v>Snapshot_Data_Completeness_Pct</x:v>
      </x:c>
      <x:c r="B14" s="170" t="n">
        <x:v>0.0012058212058212309</x:v>
      </x:c>
      <x:c r="C14" s="170" t="n">
        <x:v>0.0011726259791178082</x:v>
      </x:c>
      <x:c r="F14" s="170" t="str">
        <x:v>Complexity_Level</x:v>
      </x:c>
      <x:c r="G14" s="170" t="n">
        <x:v>0.004966777408638032</x:v>
      </x:c>
      <x:c r="H14" s="170" t="n">
        <x:v>0.002505223513963105</x:v>
      </x:c>
    </x:row>
    <x:row r="15">
      <x:c r="A15" s="170" t="str">
        <x:v>Complexity_Level</x:v>
      </x:c>
      <x:c r="B15" s="170" t="n">
        <x:v>0.0009667359667360209</x:v>
      </x:c>
      <x:c r="C15" s="170" t="n">
        <x:v>0.0008953866638546815</x:v>
      </x:c>
      <x:c r="F15" s="170" t="str">
        <x:v>Project_Type</x:v>
      </x:c>
      <x:c r="G15" s="170" t="n">
        <x:v>0.003766611295681205</x:v>
      </x:c>
      <x:c r="H15" s="170" t="n">
        <x:v>0.0017644713049817281</x:v>
      </x:c>
    </x:row>
    <x:row r="16">
      <x:c r="A16" s="170" t="str">
        <x:v>Schedule_Variance_Days_Snapshot</x:v>
      </x:c>
      <x:c r="B16" s="170" t="n">
        <x:v>0.000914760914760962</x:v>
      </x:c>
      <x:c r="C16" s="170" t="n">
        <x:v>0.0012351753213672282</x:v>
      </x:c>
      <x:c r="F16" s="170" t="str">
        <x:v>Change_Approval_Cycle_Days</x:v>
      </x:c>
      <x:c r="G16" s="170" t="n">
        <x:v>0.0035963455149503054</x:v>
      </x:c>
      <x:c r="H16" s="170" t="n">
        <x:v>0.003081999743718734</x:v>
      </x:c>
    </x:row>
    <x:row r="17">
      <x:c r="A17" s="170" t="str">
        <x:v>Safety_Incident_Rate_to_Date</x:v>
      </x:c>
      <x:c r="B17" s="170" t="n">
        <x:v>0.0007830907830908285</x:v>
      </x:c>
      <x:c r="C17" s="170" t="n">
        <x:v>0.0008057604616753438</x:v>
      </x:c>
      <x:c r="F17" s="170" t="str">
        <x:v>Approved_Change_Value_Pct_Budget</x:v>
      </x:c>
      <x:c r="G17" s="170" t="n">
        <x:v>0.0027740863787376335</x:v>
      </x:c>
      <x:c r="H17" s="170" t="n">
        <x:v>0.0010969745502391593</x:v>
      </x:c>
    </x:row>
  </x:sheetData>
  <x:mergeCells>
    <x:mergeCell ref="A1:N1"/>
    <x:mergeCell ref="A2:N3"/>
  </x:mergeCells>
  <x:conditionalFormatting sqref="B6:B17">
    <x:cfRule type="dataBar" priority="1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{821BAFF5-CB9C-A3A7-7154-A0CB5184BE61}</x14:id>
        </x:ext>
      </x:extLst>
    </x:cfRule>
  </x:conditionalFormatting>
  <x:conditionalFormatting sqref="G6:G17">
    <x:cfRule type="dataBar" priority="2">
      <x:dataBar>
        <x:cfvo type="min"/>
        <x:cfvo type="max"/>
        <x:color rgb="FF1EA7C5"/>
      </x:dataBar>
      <x:extLst>
        <x:ext xmlns:x14="http://schemas.microsoft.com/office/spreadsheetml/2009/9/main" uri="{B025F937-C7B1-47D3-B67F-A62EFF666E3E}">
          <x14:id>{904F391F-C38F-9E3A-45B9-21056690E8DE}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116658cbea74e56"/>
  <x:tableParts count="2">
    <x:tablePart xmlns:r="http://schemas.openxmlformats.org/officeDocument/2006/relationships" r:id="R42d4389a44364802"/>
    <x:tablePart xmlns:r="http://schemas.openxmlformats.org/officeDocument/2006/relationships" r:id="R6d467e81471e488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BAFF5-CB9C-A3A7-7154-A0CB5184BE61}">
            <x14:dataBar gradient="1">
              <x14:cfvo type="min"/>
              <x14:cfvo type="max"/>
              <x14:fillColor rgb="FF1EA7C5"/>
            </x14:dataBar>
          </x14:cfRule>
          <xm:sqref>B6:B17</xm:sqref>
        </x14:conditionalFormatting>
        <x14:conditionalFormatting>
          <x14:cfRule type="dataBar" priority="2" id="{904F391F-C38F-9E3A-45B9-21056690E8DE}">
            <x14:dataBar gradient="1">
              <x14:cfvo type="min"/>
              <x14:cfvo type="max"/>
              <x14:fillColor rgb="FF1EA7C5"/>
            </x14:dataBar>
          </x14:cfRule>
          <xm:sqref>G6:G17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96" hidden="0" customWidth="1"/>
    <x:col min="4" max="4" width="42" hidden="0" customWidth="1"/>
  </x:cols>
  <x:sheetData>
    <x:row r="1" ht="34" customHeight="1">
      <x:c r="A1" s="14" t="str">
        <x:v>Sources, Methods, and Disclosure</x:v>
      </x:c>
      <x:c r="B1" s="14"/>
      <x:c r="C1" s="14"/>
      <x:c r="D1" s="14"/>
    </x:row>
    <x:row r="2">
      <x:c r="A2" s="21" t="str">
        <x:v>Project sources, professional lifecycle references, and public-use controls.</x:v>
      </x:c>
      <x:c r="B2" s="21"/>
      <x:c r="C2" s="21"/>
      <x:c r="D2" s="21"/>
    </x:row>
    <x:row r="3">
      <x:c r="A3" s="21"/>
      <x:c r="B3" s="21"/>
      <x:c r="C3" s="21"/>
      <x:c r="D3" s="21"/>
    </x:row>
    <x:row r="5">
      <x:c r="A5" s="6" t="str">
        <x:v>Source Type</x:v>
      </x:c>
      <x:c r="B5" s="6" t="str">
        <x:v>Source</x:v>
      </x:c>
      <x:c r="C5" s="6" t="str">
        <x:v>Location / URL</x:v>
      </x:c>
      <x:c r="D5" s="6" t="str">
        <x:v>Use</x:v>
      </x:c>
    </x:row>
    <x:row r="6">
      <x:c r="A6" s="170" t="str">
        <x:v>Project data</x:v>
      </x:c>
      <x:c r="B6" s="170" t="str">
        <x:v>Modeling dataset</x:v>
      </x:c>
      <x:c r="C6" s="170" t="str">
        <x:v>data/processed/modeling_dataset_clean.csv</x:v>
      </x:c>
      <x:c r="D6" s="170" t="str">
        <x:v>Predictive modeling</x:v>
      </x:c>
    </x:row>
    <x:row r="7">
      <x:c r="A7" s="170" t="str">
        <x:v>Project data</x:v>
      </x:c>
      <x:c r="B7" s="170" t="str">
        <x:v>Feature lineage</x:v>
      </x:c>
      <x:c r="C7" s="170" t="str">
        <x:v>documentation/feature_lineage.csv</x:v>
      </x:c>
      <x:c r="D7" s="170" t="str">
        <x:v>Projects 1 and 2 feature concepts</x:v>
      </x:c>
    </x:row>
    <x:row r="8">
      <x:c r="A8" s="170" t="str">
        <x:v>Methodology</x:v>
      </x:c>
      <x:c r="B8" s="170" t="str">
        <x:v>IBM CRISP-DM</x:v>
      </x:c>
      <x:c r="C8" s="170" t="str">
        <x:v>https://www.ibm.com/docs/en/spss-modeler/18.6.0?topic=dm-crisp-help-overview</x:v>
      </x:c>
      <x:c r="D8" s="170" t="str">
        <x:v>Modeling and evaluation</x:v>
      </x:c>
    </x:row>
    <x:row r="9">
      <x:c r="A9" s="170" t="str">
        <x:v>Methodology</x:v>
      </x:c>
      <x:c r="B9" s="170" t="str">
        <x:v>ASQ DMAIC</x:v>
      </x:c>
      <x:c r="C9" s="170" t="str">
        <x:v>https://asq.org/quality-resources/dmaic</x:v>
      </x:c>
      <x:c r="D9" s="170" t="str">
        <x:v>Analyze, Improve, Control</x:v>
      </x:c>
    </x:row>
    <x:row r="10">
      <x:c r="A10" s="170" t="str">
        <x:v>Methodology</x:v>
      </x:c>
      <x:c r="B10" s="170" t="str">
        <x:v>Microsoft Data Science Lifecycle</x:v>
      </x:c>
      <x:c r="C10" s="170" t="str">
        <x:v>https://learn.microsoft.com/en-us/shows/dev-intro-to-data-science/what-is-the-data-science-lifecycle-2-of-28</x:v>
      </x:c>
      <x:c r="D10" s="170" t="str">
        <x:v>Modeling and deployment</x:v>
      </x:c>
    </x:row>
    <x:row r="11">
      <x:c r="A11" s="170" t="str">
        <x:v>Methodology</x:v>
      </x:c>
      <x:c r="B11" s="170" t="str">
        <x:v>PMI Process Groups</x:v>
      </x:c>
      <x:c r="C11" s="170" t="str">
        <x:v>https://www.pmi.org/standards/process-groups</x:v>
      </x:c>
      <x:c r="D11" s="170" t="str">
        <x:v>Governance terminology</x:v>
      </x:c>
    </x:row>
    <x:row r="15">
      <x:c r="A15" s="21" t="str">
        <x:v>Synthetic-data disclosure: All project records and model outcomes are fictional. Performance is not an industry benchmark. Predictions support human review and are not authorized for autonomous decisions.</x:v>
      </x:c>
      <x:c r="B15" s="21"/>
      <x:c r="C15" s="21"/>
      <x:c r="D15" s="21"/>
    </x:row>
    <x:row r="16">
      <x:c r="A16" s="21"/>
      <x:c r="B16" s="21"/>
      <x:c r="C16" s="21"/>
      <x:c r="D16" s="21"/>
    </x:row>
    <x:row r="17">
      <x:c r="A17" s="21"/>
      <x:c r="B17" s="21"/>
      <x:c r="C17" s="21"/>
      <x:c r="D17" s="21"/>
    </x:row>
    <x:row r="18">
      <x:c r="A18" s="21"/>
      <x:c r="B18" s="21"/>
      <x:c r="C18" s="21"/>
      <x:c r="D18" s="21"/>
    </x:row>
    <x:row r="19">
      <x:c r="A19" s="21"/>
      <x:c r="B19" s="21"/>
      <x:c r="C19" s="21"/>
      <x:c r="D19" s="21"/>
    </x:row>
  </x:sheetData>
  <x:mergeCells>
    <x:mergeCell ref="A1:D1"/>
    <x:mergeCell ref="A2:D3"/>
    <x:mergeCell ref="A15:D19"/>
  </x:mergeCells>
  <x:pageMargins left="0.7" right="0.7" top="0.75" bottom="0.75" header="0.3" footer="0.3"/>
  <x:tableParts count="1">
    <x:tablePart xmlns:r="http://schemas.openxmlformats.org/officeDocument/2006/relationships" r:id="Re7276ede1cde48c2"/>
  </x:tableParts>
</x:worksheet>
</file>